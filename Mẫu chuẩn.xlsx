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RS03-415\Desktop\AutoScanText\"/>
    </mc:Choice>
  </mc:AlternateContent>
  <xr:revisionPtr revIDLastSave="0" documentId="13_ncr:1_{14E5C897-F2ED-4061-B6CA-08C2132F7D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pection 1-40 (2)" sheetId="328" r:id="rId1"/>
    <sheet name="Inspection 41-42" sheetId="327" r:id="rId2"/>
  </sheets>
  <definedNames>
    <definedName name="_xlnm.Print_Area" localSheetId="0">'Inspection 1-40 (2)'!$A$1:$P$59</definedName>
    <definedName name="_xlnm.Print_Area" localSheetId="1">'Inspection 41-42'!$A$1:$P$59</definedName>
  </definedNames>
  <calcPr calcId="191029"/>
</workbook>
</file>

<file path=xl/calcChain.xml><?xml version="1.0" encoding="utf-8"?>
<calcChain xmlns="http://schemas.openxmlformats.org/spreadsheetml/2006/main">
  <c r="G54" i="327" l="1"/>
  <c r="F54" i="327"/>
  <c r="G12" i="327"/>
  <c r="H12" i="327"/>
  <c r="I12" i="327"/>
  <c r="J12" i="327"/>
  <c r="K12" i="327"/>
  <c r="L12" i="327"/>
  <c r="M12" i="327"/>
  <c r="N12" i="327"/>
  <c r="O12" i="327"/>
  <c r="F12" i="327"/>
  <c r="N6" i="327"/>
  <c r="N4" i="327"/>
  <c r="G6" i="327"/>
  <c r="G5" i="327"/>
  <c r="C6" i="327"/>
  <c r="C5" i="327"/>
  <c r="P8" i="327"/>
  <c r="P14" i="328"/>
  <c r="P15" i="327"/>
  <c r="P16" i="327"/>
  <c r="P17" i="327"/>
  <c r="P18" i="327"/>
  <c r="P19" i="327"/>
  <c r="P20" i="327"/>
  <c r="P21" i="327"/>
  <c r="P22" i="327"/>
  <c r="P23" i="327"/>
  <c r="P24" i="327"/>
  <c r="P25" i="327"/>
  <c r="P26" i="327"/>
  <c r="P27" i="327"/>
  <c r="P28" i="327"/>
  <c r="P29" i="327"/>
  <c r="P30" i="327"/>
  <c r="P31" i="327"/>
  <c r="P32" i="327"/>
  <c r="P33" i="327"/>
  <c r="P34" i="327"/>
  <c r="P35" i="327"/>
  <c r="P36" i="327"/>
  <c r="P37" i="327"/>
  <c r="P38" i="327"/>
  <c r="P39" i="327"/>
  <c r="P40" i="327"/>
  <c r="P41" i="327"/>
  <c r="P42" i="327"/>
  <c r="P43" i="327"/>
  <c r="P44" i="327"/>
  <c r="P45" i="327"/>
  <c r="P46" i="327"/>
  <c r="P47" i="327"/>
  <c r="P48" i="327"/>
  <c r="P49" i="327"/>
  <c r="P50" i="327"/>
  <c r="P51" i="327"/>
  <c r="P52" i="327"/>
  <c r="P53" i="327"/>
  <c r="P14" i="327"/>
  <c r="P15" i="328"/>
  <c r="P16" i="328"/>
  <c r="P17" i="328"/>
  <c r="P18" i="328"/>
  <c r="P19" i="328"/>
  <c r="P20" i="328"/>
  <c r="P21" i="328"/>
  <c r="P22" i="328"/>
  <c r="P23" i="328"/>
  <c r="P24" i="328"/>
  <c r="P25" i="328"/>
  <c r="P26" i="328"/>
  <c r="P27" i="328"/>
  <c r="P28" i="328"/>
  <c r="P29" i="328"/>
  <c r="P30" i="328"/>
  <c r="P31" i="328"/>
  <c r="P32" i="328"/>
  <c r="P33" i="328"/>
  <c r="P34" i="328"/>
  <c r="P35" i="328"/>
  <c r="P36" i="328"/>
  <c r="P37" i="328"/>
  <c r="P38" i="328"/>
  <c r="P39" i="328"/>
  <c r="P40" i="328"/>
  <c r="P41" i="328"/>
  <c r="P42" i="328"/>
  <c r="P43" i="328"/>
  <c r="P44" i="328"/>
  <c r="P45" i="328"/>
  <c r="P46" i="328"/>
  <c r="P47" i="328"/>
  <c r="P48" i="328"/>
  <c r="P49" i="328"/>
  <c r="P50" i="328"/>
  <c r="P51" i="328"/>
  <c r="P52" i="328"/>
  <c r="P53" i="328"/>
  <c r="P8" i="328" l="1"/>
</calcChain>
</file>

<file path=xl/sharedStrings.xml><?xml version="1.0" encoding="utf-8"?>
<sst xmlns="http://schemas.openxmlformats.org/spreadsheetml/2006/main" count="121" uniqueCount="37">
  <si>
    <t>BÁO CÁO KIỂM TRA LINH KIỆN</t>
  </si>
  <si>
    <t>THE PARTS INSPECTION REPORT
MMFDIF067.00 (16Jan2026)</t>
  </si>
  <si>
    <t>Date/Ngày kiểm tra:</t>
  </si>
  <si>
    <t>12-MAR-2026</t>
  </si>
  <si>
    <t>Parts Name/Tên linh kiện:</t>
  </si>
  <si>
    <t>106C</t>
  </si>
  <si>
    <t>Mold Name/Tên khuôn:</t>
  </si>
  <si>
    <t>MF00307</t>
  </si>
  <si>
    <t>Department/Bộ phận:</t>
  </si>
  <si>
    <t>INJECTION</t>
  </si>
  <si>
    <t xml:space="preserve">Materia/Nguyên liệu: </t>
  </si>
  <si>
    <t>HPM31</t>
  </si>
  <si>
    <t xml:space="preserve">HRC : </t>
  </si>
  <si>
    <t>56-58</t>
  </si>
  <si>
    <t>QTY/Số lượng:</t>
  </si>
  <si>
    <t>　　　　　　　A) Calipers　  　 B) Digital micrometer　  　 C) Microscope 　  　D) Comparator 　  　E) Pin gauge　  　 F) Micrometer</t>
  </si>
  <si>
    <t>　　　　　　　A) Thước cặp　 B) Thước đo điện tử　　   C) Kính hiểm vi         D) Bộ căn dưỡng 　　E) Đồng hồ đo　　 F) Panme</t>
  </si>
  <si>
    <t>Specification</t>
  </si>
  <si>
    <t>Sample No.</t>
  </si>
  <si>
    <t>Point/Điểm</t>
  </si>
  <si>
    <t>Nominal</t>
  </si>
  <si>
    <t>Tol/Dung sai</t>
  </si>
  <si>
    <t>Tool</t>
  </si>
  <si>
    <t/>
  </si>
  <si>
    <t>Remark/Ghi chú</t>
  </si>
  <si>
    <t>-</t>
  </si>
  <si>
    <t>+</t>
  </si>
  <si>
    <t>Detail/Chi tiết</t>
  </si>
  <si>
    <t>OK</t>
  </si>
  <si>
    <t>C</t>
  </si>
  <si>
    <t xml:space="preserve">Ngoại quan/  Appearance </t>
  </si>
  <si>
    <t>Lưu ý:</t>
  </si>
  <si>
    <t>-Tất cả linh kiện khi nhận về từ Nhà Cung Cấp bắt buộc phải được kiểm tra ngoại quan và kích thước như bản vẽ trước khi nhập kho .</t>
  </si>
  <si>
    <t>-All the mold part when receive in from Supplier must be checking appearance and dimensions before entering the warehouse stock .</t>
  </si>
  <si>
    <t>Confirm by
Xác Nhận</t>
  </si>
  <si>
    <t xml:space="preserve">              Approved by
Phê Duyệt</t>
  </si>
  <si>
    <t>JUDGEMENT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</si>
</sst>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\ &quot;pc&quot;"/>
    <numFmt numFmtId="165" formatCode="General\ &quot;°&quot;"/>
    <numFmt numFmtId="166" formatCode="0.000"/>
    <numFmt numFmtId="167" formatCode="0.0000"/>
  </numFmts>
  <fonts count="17" x14ac:knownFonts="1">
    <font>
      <sz val="11"/>
      <color theme="1"/>
      <name val="Calibri"/>
      <scheme val="minor"/>
    </font>
    <font>
      <sz val="14"/>
      <name val="ＭＳ 明朝"/>
      <family val="1"/>
    </font>
    <font>
      <b/>
      <sz val="16"/>
      <name val="Arial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color theme="1"/>
      <name val="Arial"/>
      <family val="2"/>
    </font>
    <font>
      <sz val="13"/>
      <name val="Arial"/>
      <family val="2"/>
    </font>
    <font>
      <sz val="10"/>
      <name val="Arial"/>
      <family val="2"/>
    </font>
    <font>
      <sz val="11"/>
      <color rgb="FFFF0000"/>
      <name val="Arial"/>
      <family val="2"/>
    </font>
    <font>
      <sz val="18"/>
      <name val="Arial"/>
      <family val="2"/>
    </font>
    <font>
      <b/>
      <sz val="13"/>
      <name val="Arial"/>
      <family val="2"/>
    </font>
    <font>
      <b/>
      <sz val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21">
    <xf numFmtId="0" fontId="0" fillId="0" borderId="0" xfId="0"/>
    <xf numFmtId="0" fontId="3" fillId="0" borderId="0" xfId="0" applyFont="1"/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right"/>
    </xf>
    <xf numFmtId="0" fontId="7" fillId="0" borderId="1" xfId="0" applyFont="1" applyBorder="1" applyAlignment="1">
      <alignment horizontal="right"/>
    </xf>
    <xf numFmtId="49" fontId="6" fillId="0" borderId="0" xfId="0" applyNumberFormat="1" applyFont="1" applyAlignment="1">
      <alignment horizontal="right"/>
    </xf>
    <xf numFmtId="0" fontId="6" fillId="0" borderId="1" xfId="0" applyFont="1" applyBorder="1" applyAlignment="1">
      <alignment horizontal="right" shrinkToFit="1"/>
    </xf>
    <xf numFmtId="0" fontId="6" fillId="0" borderId="0" xfId="0" applyFont="1" applyAlignment="1">
      <alignment horizontal="right" shrinkToFit="1"/>
    </xf>
    <xf numFmtId="0" fontId="6" fillId="0" borderId="1" xfId="0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0" fontId="6" fillId="0" borderId="13" xfId="0" applyFont="1" applyBorder="1" applyAlignment="1">
      <alignment horizontal="center" vertical="center"/>
    </xf>
    <xf numFmtId="0" fontId="7" fillId="0" borderId="8" xfId="0" applyFont="1" applyBorder="1" applyAlignment="1">
      <alignment horizontal="right"/>
    </xf>
    <xf numFmtId="165" fontId="6" fillId="0" borderId="8" xfId="0" applyNumberFormat="1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164" fontId="6" fillId="0" borderId="8" xfId="0" applyNumberFormat="1" applyFont="1" applyBorder="1" applyAlignment="1">
      <alignment horizontal="right"/>
    </xf>
    <xf numFmtId="0" fontId="6" fillId="0" borderId="1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horizontal="left"/>
    </xf>
    <xf numFmtId="0" fontId="6" fillId="0" borderId="0" xfId="0" applyFont="1"/>
    <xf numFmtId="0" fontId="6" fillId="0" borderId="12" xfId="0" applyFont="1" applyBorder="1"/>
    <xf numFmtId="0" fontId="6" fillId="0" borderId="12" xfId="0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0" xfId="0" applyFont="1" applyFill="1"/>
    <xf numFmtId="0" fontId="6" fillId="2" borderId="7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0" fontId="13" fillId="0" borderId="0" xfId="0" quotePrefix="1" applyFont="1" applyAlignment="1">
      <alignment horizontal="left" vertical="center"/>
    </xf>
    <xf numFmtId="0" fontId="8" fillId="0" borderId="5" xfId="0" quotePrefix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49" fontId="12" fillId="0" borderId="0" xfId="0" applyNumberFormat="1" applyFont="1" applyAlignment="1">
      <alignment wrapText="1"/>
    </xf>
    <xf numFmtId="0" fontId="14" fillId="0" borderId="7" xfId="0" applyFont="1" applyBorder="1" applyAlignment="1">
      <alignment horizontal="center"/>
    </xf>
    <xf numFmtId="0" fontId="6" fillId="0" borderId="7" xfId="0" applyFont="1" applyBorder="1" applyAlignment="1">
      <alignment vertical="center"/>
    </xf>
    <xf numFmtId="49" fontId="11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49" fontId="15" fillId="0" borderId="3" xfId="0" applyNumberFormat="1" applyFont="1" applyBorder="1" applyAlignment="1">
      <alignment horizontal="center" vertical="center"/>
    </xf>
    <xf numFmtId="166" fontId="9" fillId="0" borderId="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67" fontId="9" fillId="0" borderId="3" xfId="0" applyNumberFormat="1" applyFont="1" applyBorder="1" applyAlignment="1">
      <alignment horizontal="center" vertical="center"/>
    </xf>
    <xf numFmtId="167" fontId="15" fillId="0" borderId="3" xfId="0" applyNumberFormat="1" applyFont="1" applyBorder="1" applyAlignment="1">
      <alignment horizontal="center" vertical="center"/>
    </xf>
    <xf numFmtId="166" fontId="11" fillId="0" borderId="3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left"/>
    </xf>
    <xf numFmtId="0" fontId="6" fillId="0" borderId="19" xfId="0" applyFont="1" applyBorder="1"/>
    <xf numFmtId="0" fontId="6" fillId="0" borderId="24" xfId="0" applyFont="1" applyBorder="1" applyAlignment="1">
      <alignment horizontal="center" vertical="center"/>
    </xf>
    <xf numFmtId="166" fontId="9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13" fillId="0" borderId="19" xfId="0" quotePrefix="1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12" fillId="2" borderId="19" xfId="0" applyFont="1" applyFill="1" applyBorder="1" applyAlignment="1">
      <alignment horizontal="center" wrapText="1"/>
    </xf>
    <xf numFmtId="0" fontId="6" fillId="2" borderId="30" xfId="0" applyFont="1" applyFill="1" applyBorder="1" applyAlignment="1">
      <alignment horizontal="center" vertical="center"/>
    </xf>
    <xf numFmtId="0" fontId="3" fillId="2" borderId="31" xfId="0" applyFont="1" applyFill="1" applyBorder="1"/>
    <xf numFmtId="0" fontId="3" fillId="2" borderId="7" xfId="0" applyFont="1" applyFill="1" applyBorder="1"/>
    <xf numFmtId="0" fontId="3" fillId="2" borderId="30" xfId="0" applyFont="1" applyFill="1" applyBorder="1"/>
    <xf numFmtId="49" fontId="9" fillId="4" borderId="3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9" fontId="12" fillId="0" borderId="7" xfId="0" applyNumberFormat="1" applyFont="1" applyBorder="1" applyAlignment="1">
      <alignment horizontal="center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28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29" xfId="0" applyFont="1" applyBorder="1" applyAlignment="1">
      <alignment horizontal="left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6" fillId="0" borderId="19" xfId="0" applyFont="1" applyBorder="1" applyAlignment="1">
      <alignment horizontal="right"/>
    </xf>
    <xf numFmtId="0" fontId="6" fillId="0" borderId="0" xfId="0" applyFont="1" applyAlignment="1">
      <alignment horizontal="right"/>
    </xf>
    <xf numFmtId="49" fontId="6" fillId="0" borderId="0" xfId="0" applyNumberFormat="1" applyFont="1" applyAlignment="1">
      <alignment horizontal="right"/>
    </xf>
    <xf numFmtId="0" fontId="8" fillId="0" borderId="25" xfId="0" applyFont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right"/>
    </xf>
  </cellXfs>
  <cellStyles count="2">
    <cellStyle name="Normal" xfId="0" builtinId="0"/>
    <cellStyle name="標準_Sheet3" xfId="1" xr:uid="{00000000-0005-0000-0000-000001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0</xdr:row>
      <xdr:rowOff>53340</xdr:rowOff>
    </xdr:from>
    <xdr:to>
      <xdr:col>2</xdr:col>
      <xdr:colOff>545993</xdr:colOff>
      <xdr:row>1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BB59CC-C6B5-4FA6-AF8C-900E90DCF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" y="53340"/>
          <a:ext cx="2087138" cy="455295"/>
        </a:xfrm>
        <a:prstGeom prst="rect">
          <a:avLst/>
        </a:prstGeom>
      </xdr:spPr>
    </xdr:pic>
    <xdr:clientData/>
  </xdr:twoCellAnchor>
  <xdr:twoCellAnchor>
    <xdr:from>
      <xdr:col>0</xdr:col>
      <xdr:colOff>68580</xdr:colOff>
      <xdr:row>1</xdr:row>
      <xdr:rowOff>60960</xdr:rowOff>
    </xdr:from>
    <xdr:to>
      <xdr:col>3</xdr:col>
      <xdr:colOff>464820</xdr:colOff>
      <xdr:row>2</xdr:row>
      <xdr:rowOff>60960</xdr:rowOff>
    </xdr:to>
    <xdr:sp macro="" textlink="">
      <xdr:nvSpPr>
        <xdr:cNvPr id="3" name="Rectangle 75">
          <a:extLst>
            <a:ext uri="{FF2B5EF4-FFF2-40B4-BE49-F238E27FC236}">
              <a16:creationId xmlns:a16="http://schemas.microsoft.com/office/drawing/2014/main" id="{8948F122-156F-46F3-AAC6-35D6E970318E}"/>
            </a:ext>
          </a:extLst>
        </xdr:cNvPr>
        <xdr:cNvSpPr>
          <a:spLocks noChangeArrowheads="1"/>
        </xdr:cNvSpPr>
      </xdr:nvSpPr>
      <xdr:spPr bwMode="auto">
        <a:xfrm>
          <a:off x="68580" y="470535"/>
          <a:ext cx="282511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IRISO ELECTRONICS VIETNAM CO., LTD</a:t>
          </a:r>
        </a:p>
      </xdr:txBody>
    </xdr:sp>
    <xdr:clientData/>
  </xdr:twoCellAnchor>
  <xdr:twoCellAnchor>
    <xdr:from>
      <xdr:col>0</xdr:col>
      <xdr:colOff>192222</xdr:colOff>
      <xdr:row>1</xdr:row>
      <xdr:rowOff>418912</xdr:rowOff>
    </xdr:from>
    <xdr:to>
      <xdr:col>9</xdr:col>
      <xdr:colOff>369795</xdr:colOff>
      <xdr:row>4</xdr:row>
      <xdr:rowOff>89647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87EC0AD-6C85-4DE4-B37B-D00756647465}"/>
            </a:ext>
          </a:extLst>
        </xdr:cNvPr>
        <xdr:cNvGrpSpPr/>
      </xdr:nvGrpSpPr>
      <xdr:grpSpPr>
        <a:xfrm>
          <a:off x="192222" y="833530"/>
          <a:ext cx="6464073" cy="712882"/>
          <a:chOff x="8884920" y="1005840"/>
          <a:chExt cx="5831204" cy="739211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774D7968-150B-26D5-EC93-1EE88613ED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863549" y="1011060"/>
            <a:ext cx="1852575" cy="733991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A6BAD910-5346-D7B2-F73F-4FFD850597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884920" y="1015365"/>
            <a:ext cx="1971429" cy="721901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77136339-D1BA-59CC-B813-0F58B9DCDB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0877550" y="1005840"/>
            <a:ext cx="1961905" cy="731425"/>
          </a:xfrm>
          <a:prstGeom prst="rect">
            <a:avLst/>
          </a:prstGeom>
        </xdr:spPr>
      </xdr:pic>
    </xdr:grpSp>
    <xdr:clientData/>
  </xdr:twoCellAnchor>
  <xdr:twoCellAnchor editAs="oneCell">
    <xdr:from>
      <xdr:col>7</xdr:col>
      <xdr:colOff>87690</xdr:colOff>
      <xdr:row>57</xdr:row>
      <xdr:rowOff>33617</xdr:rowOff>
    </xdr:from>
    <xdr:to>
      <xdr:col>8</xdr:col>
      <xdr:colOff>578224</xdr:colOff>
      <xdr:row>57</xdr:row>
      <xdr:rowOff>587972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6A390D0-CDB9-430C-9E42-1AA5BC325B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100000"/>
                  </a14:imgEffect>
                  <a14:imgEffect>
                    <a14:brightnessContrast bright="40000" contras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937" t="27337" r="25922" b="25014"/>
        <a:stretch>
          <a:fillRect/>
        </a:stretch>
      </xdr:blipFill>
      <xdr:spPr>
        <a:xfrm rot="10800000">
          <a:off x="5085514" y="15542558"/>
          <a:ext cx="1162886" cy="561975"/>
        </a:xfrm>
        <a:prstGeom prst="rect">
          <a:avLst/>
        </a:prstGeom>
      </xdr:spPr>
    </xdr:pic>
    <xdr:clientData/>
  </xdr:twoCellAnchor>
  <xdr:twoCellAnchor editAs="oneCell">
    <xdr:from>
      <xdr:col>13</xdr:col>
      <xdr:colOff>39413</xdr:colOff>
      <xdr:row>57</xdr:row>
      <xdr:rowOff>30733</xdr:rowOff>
    </xdr:from>
    <xdr:to>
      <xdr:col>14</xdr:col>
      <xdr:colOff>551329</xdr:colOff>
      <xdr:row>57</xdr:row>
      <xdr:rowOff>590803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0C88C86-88CD-406E-9FC7-91BCD18DE5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100000"/>
                  </a14:imgEffect>
                  <a14:imgEffect>
                    <a14:brightnessContrast bright="62000" contras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352" t="23555" r="23856" b="21406"/>
        <a:stretch>
          <a:fillRect/>
        </a:stretch>
      </xdr:blipFill>
      <xdr:spPr>
        <a:xfrm rot="10800000">
          <a:off x="9340295" y="15539674"/>
          <a:ext cx="1152893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0</xdr:row>
      <xdr:rowOff>53340</xdr:rowOff>
    </xdr:from>
    <xdr:to>
      <xdr:col>2</xdr:col>
      <xdr:colOff>545993</xdr:colOff>
      <xdr:row>1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8E3421-754E-4D7E-8B67-4D66D1CED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" y="53340"/>
          <a:ext cx="2087138" cy="455295"/>
        </a:xfrm>
        <a:prstGeom prst="rect">
          <a:avLst/>
        </a:prstGeom>
      </xdr:spPr>
    </xdr:pic>
    <xdr:clientData/>
  </xdr:twoCellAnchor>
  <xdr:twoCellAnchor>
    <xdr:from>
      <xdr:col>0</xdr:col>
      <xdr:colOff>68580</xdr:colOff>
      <xdr:row>1</xdr:row>
      <xdr:rowOff>60960</xdr:rowOff>
    </xdr:from>
    <xdr:to>
      <xdr:col>3</xdr:col>
      <xdr:colOff>464820</xdr:colOff>
      <xdr:row>2</xdr:row>
      <xdr:rowOff>60960</xdr:rowOff>
    </xdr:to>
    <xdr:sp macro="" textlink="">
      <xdr:nvSpPr>
        <xdr:cNvPr id="3" name="Rectangle 75">
          <a:extLst>
            <a:ext uri="{FF2B5EF4-FFF2-40B4-BE49-F238E27FC236}">
              <a16:creationId xmlns:a16="http://schemas.microsoft.com/office/drawing/2014/main" id="{55B49CCF-1D49-43EB-9336-90BC9E5946DA}"/>
            </a:ext>
          </a:extLst>
        </xdr:cNvPr>
        <xdr:cNvSpPr>
          <a:spLocks noChangeArrowheads="1"/>
        </xdr:cNvSpPr>
      </xdr:nvSpPr>
      <xdr:spPr bwMode="auto">
        <a:xfrm>
          <a:off x="68580" y="470535"/>
          <a:ext cx="282511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IRISO ELECTRONICS VIETNAM CO., LTD</a:t>
          </a:r>
        </a:p>
      </xdr:txBody>
    </xdr:sp>
    <xdr:clientData/>
  </xdr:twoCellAnchor>
  <xdr:twoCellAnchor>
    <xdr:from>
      <xdr:col>0</xdr:col>
      <xdr:colOff>111311</xdr:colOff>
      <xdr:row>2</xdr:row>
      <xdr:rowOff>1494</xdr:rowOff>
    </xdr:from>
    <xdr:to>
      <xdr:col>9</xdr:col>
      <xdr:colOff>358588</xdr:colOff>
      <xdr:row>4</xdr:row>
      <xdr:rowOff>30784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BDE17F72-A8ED-4980-879C-0D412524C030}"/>
            </a:ext>
          </a:extLst>
        </xdr:cNvPr>
        <xdr:cNvGrpSpPr/>
      </xdr:nvGrpSpPr>
      <xdr:grpSpPr>
        <a:xfrm>
          <a:off x="111311" y="853141"/>
          <a:ext cx="6679453" cy="634408"/>
          <a:chOff x="8884920" y="1005840"/>
          <a:chExt cx="5831204" cy="739211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277EE3A7-C0C1-8D34-8679-C455B237D1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863549" y="1011060"/>
            <a:ext cx="1852575" cy="733991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7195E8C1-37D9-273C-D3CA-076F278499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884920" y="1015365"/>
            <a:ext cx="1971429" cy="721901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6F6DFB6B-5595-0EDB-B4B1-D6FC3FDE38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0877550" y="1005840"/>
            <a:ext cx="1961905" cy="731425"/>
          </a:xfrm>
          <a:prstGeom prst="rect">
            <a:avLst/>
          </a:prstGeom>
        </xdr:spPr>
      </xdr:pic>
    </xdr:grpSp>
    <xdr:clientData/>
  </xdr:twoCellAnchor>
  <xdr:twoCellAnchor editAs="oneCell">
    <xdr:from>
      <xdr:col>7</xdr:col>
      <xdr:colOff>87690</xdr:colOff>
      <xdr:row>57</xdr:row>
      <xdr:rowOff>33617</xdr:rowOff>
    </xdr:from>
    <xdr:to>
      <xdr:col>8</xdr:col>
      <xdr:colOff>533400</xdr:colOff>
      <xdr:row>57</xdr:row>
      <xdr:rowOff>595592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56B61F9-CA2C-4B8F-B7F8-182AB01568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100000"/>
                  </a14:imgEffect>
                  <a14:imgEffect>
                    <a14:brightnessContrast bright="40000" contras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937" t="27337" r="25922" b="25014"/>
        <a:stretch>
          <a:fillRect/>
        </a:stretch>
      </xdr:blipFill>
      <xdr:spPr>
        <a:xfrm rot="10800000">
          <a:off x="5116890" y="15673667"/>
          <a:ext cx="1161704" cy="547895"/>
        </a:xfrm>
        <a:prstGeom prst="rect">
          <a:avLst/>
        </a:prstGeom>
      </xdr:spPr>
    </xdr:pic>
    <xdr:clientData/>
  </xdr:twoCellAnchor>
  <xdr:twoCellAnchor editAs="oneCell">
    <xdr:from>
      <xdr:col>13</xdr:col>
      <xdr:colOff>39413</xdr:colOff>
      <xdr:row>57</xdr:row>
      <xdr:rowOff>30733</xdr:rowOff>
    </xdr:from>
    <xdr:to>
      <xdr:col>14</xdr:col>
      <xdr:colOff>228600</xdr:colOff>
      <xdr:row>57</xdr:row>
      <xdr:rowOff>583183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577D55A-6ABE-4BCC-A971-69E1AAD8BC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100000"/>
                  </a14:imgEffect>
                  <a14:imgEffect>
                    <a14:brightnessContrast bright="62000" contras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352" t="23555" r="23856" b="21406"/>
        <a:stretch>
          <a:fillRect/>
        </a:stretch>
      </xdr:blipFill>
      <xdr:spPr>
        <a:xfrm rot="10800000">
          <a:off x="9354863" y="15670783"/>
          <a:ext cx="1152526" cy="5539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E3EA6-325D-44F7-9FB7-51EF78A55CEC}">
  <we:reference id="wa200000142" version="1.0.0.0" store="en-US" storeType="OMEX"/>
  <we:alternateReferences>
    <we:reference id="WA200000142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C3ED-5510-484A-98F8-01C2D47BA537}">
  <sheetPr codeName="Sheet3">
    <pageSetUpPr fitToPage="1"/>
  </sheetPr>
  <dimension ref="A1:AB59"/>
  <sheetViews>
    <sheetView tabSelected="1" view="pageBreakPreview" topLeftCell="A67" zoomScale="85" zoomScaleNormal="100" zoomScaleSheetLayoutView="85" workbookViewId="0">
      <selection activeCell="J80" sqref="J80"/>
    </sheetView>
  </sheetViews>
  <sheetFormatPr defaultColWidth="9" defaultRowHeight="14.25" x14ac:dyDescent="0.2"/>
  <cols>
    <col min="1" max="1" width="12.7109375" style="1" customWidth="1"/>
    <col min="2" max="2" width="11.42578125" style="1" customWidth="1"/>
    <col min="3" max="3" width="12.28515625" style="1" customWidth="1"/>
    <col min="4" max="4" width="10.28515625" style="1" customWidth="1"/>
    <col min="5" max="5" width="7.140625" style="1" customWidth="1"/>
    <col min="6" max="15" width="10.140625" style="1" customWidth="1"/>
    <col min="16" max="16" width="18.28515625" style="1" customWidth="1"/>
    <col min="17" max="18" width="9" style="1" customWidth="1"/>
    <col min="19" max="19" width="16.42578125" style="1" customWidth="1"/>
    <col min="20" max="20" width="9" style="1" customWidth="1"/>
    <col min="21" max="16384" width="9" style="1"/>
  </cols>
  <sheetData>
    <row r="1" spans="1:28" ht="32.450000000000003" customHeight="1" x14ac:dyDescent="0.3">
      <c r="A1" s="97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9"/>
    </row>
    <row r="2" spans="1:28" ht="34.9" customHeight="1" x14ac:dyDescent="0.2">
      <c r="A2" s="100" t="s">
        <v>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2"/>
    </row>
    <row r="3" spans="1:28" ht="24" customHeight="1" x14ac:dyDescent="0.2">
      <c r="A3" s="64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5"/>
      <c r="O3" s="3"/>
      <c r="P3" s="63"/>
      <c r="S3" s="103"/>
      <c r="T3" s="103"/>
      <c r="U3" s="103"/>
      <c r="V3" s="103"/>
      <c r="W3" s="103"/>
      <c r="X3" s="103"/>
      <c r="Y3" s="103"/>
      <c r="Z3" s="103"/>
      <c r="AA3" s="103"/>
      <c r="AB3" s="103"/>
    </row>
    <row r="4" spans="1:28" ht="24" customHeight="1" x14ac:dyDescent="0.2">
      <c r="A4" s="64"/>
      <c r="B4" s="3"/>
      <c r="C4" s="3"/>
      <c r="D4" s="3"/>
      <c r="E4" s="3"/>
      <c r="F4" s="3"/>
      <c r="G4" s="3"/>
      <c r="H4" s="3"/>
      <c r="I4" s="3"/>
      <c r="J4" s="3"/>
      <c r="K4" s="27"/>
      <c r="L4" s="112" t="s">
        <v>2</v>
      </c>
      <c r="M4" s="112"/>
      <c r="N4" s="110" t="s">
        <v>3</v>
      </c>
      <c r="O4" s="110"/>
      <c r="P4" s="63"/>
      <c r="S4" s="103"/>
      <c r="T4" s="103"/>
      <c r="U4" s="103"/>
      <c r="V4" s="103"/>
      <c r="W4" s="103"/>
      <c r="X4" s="103"/>
      <c r="Y4" s="103"/>
      <c r="Z4" s="103"/>
      <c r="AA4" s="103"/>
      <c r="AB4" s="103"/>
    </row>
    <row r="5" spans="1:28" ht="19.899999999999999" customHeight="1" x14ac:dyDescent="0.2">
      <c r="A5" s="104" t="s">
        <v>4</v>
      </c>
      <c r="B5" s="105"/>
      <c r="C5" s="7" t="s">
        <v>5</v>
      </c>
      <c r="D5" s="106" t="s">
        <v>6</v>
      </c>
      <c r="E5" s="106"/>
      <c r="F5" s="106"/>
      <c r="G5" s="9" t="s">
        <v>7</v>
      </c>
      <c r="H5" s="9"/>
      <c r="I5" s="10"/>
      <c r="J5" s="6"/>
      <c r="K5" s="105" t="s">
        <v>8</v>
      </c>
      <c r="L5" s="105"/>
      <c r="M5" s="105"/>
      <c r="N5" s="111" t="s">
        <v>9</v>
      </c>
      <c r="O5" s="111"/>
      <c r="P5" s="65"/>
      <c r="S5" s="103"/>
      <c r="T5" s="103"/>
      <c r="U5" s="103"/>
      <c r="V5" s="103"/>
      <c r="W5" s="103"/>
      <c r="X5" s="103"/>
      <c r="Y5" s="103"/>
      <c r="Z5" s="103"/>
      <c r="AA5" s="103"/>
      <c r="AB5" s="103"/>
    </row>
    <row r="6" spans="1:28" ht="19.899999999999999" customHeight="1" x14ac:dyDescent="0.2">
      <c r="A6" s="104" t="s">
        <v>10</v>
      </c>
      <c r="B6" s="105"/>
      <c r="C6" s="14" t="s">
        <v>11</v>
      </c>
      <c r="D6" s="6"/>
      <c r="E6" s="6"/>
      <c r="F6" s="8" t="s">
        <v>12</v>
      </c>
      <c r="G6" s="15" t="s">
        <v>13</v>
      </c>
      <c r="H6" s="16"/>
      <c r="I6" s="6"/>
      <c r="J6" s="6"/>
      <c r="K6" s="105" t="s">
        <v>14</v>
      </c>
      <c r="L6" s="105"/>
      <c r="M6" s="105"/>
      <c r="N6" s="62">
        <v>2</v>
      </c>
      <c r="O6" s="27"/>
      <c r="P6" s="65"/>
      <c r="S6" s="103"/>
      <c r="T6" s="103"/>
      <c r="U6" s="103"/>
      <c r="V6" s="103"/>
      <c r="W6" s="103"/>
      <c r="X6" s="103"/>
      <c r="Y6" s="103"/>
      <c r="Z6" s="103"/>
      <c r="AA6" s="103"/>
      <c r="AB6" s="103"/>
    </row>
    <row r="7" spans="1:28" ht="19.899999999999999" customHeight="1" x14ac:dyDescent="0.2">
      <c r="A7" s="66"/>
      <c r="B7" s="19"/>
      <c r="C7" s="20"/>
      <c r="D7" s="21"/>
      <c r="E7" s="21"/>
      <c r="F7" s="22"/>
      <c r="G7" s="23"/>
      <c r="H7" s="21"/>
      <c r="I7" s="21"/>
      <c r="J7" s="21"/>
      <c r="K7" s="24"/>
      <c r="L7" s="24"/>
      <c r="M7" s="24"/>
      <c r="N7" s="24"/>
      <c r="O7" s="3"/>
      <c r="P7" s="67" t="s">
        <v>36</v>
      </c>
      <c r="S7" s="103"/>
      <c r="T7" s="103"/>
      <c r="U7" s="103"/>
      <c r="V7" s="103"/>
      <c r="W7" s="103"/>
      <c r="X7" s="103"/>
      <c r="Y7" s="103"/>
      <c r="Z7" s="103"/>
      <c r="AA7" s="103"/>
      <c r="AB7" s="103"/>
    </row>
    <row r="8" spans="1:28" ht="19.149999999999999" customHeight="1" x14ac:dyDescent="0.2">
      <c r="A8" s="68" t="s">
        <v>15</v>
      </c>
      <c r="B8" s="27"/>
      <c r="C8" s="28"/>
      <c r="D8" s="27"/>
      <c r="E8" s="28"/>
      <c r="F8" s="27"/>
      <c r="G8" s="28"/>
      <c r="H8" s="27"/>
      <c r="I8" s="28"/>
      <c r="J8" s="27"/>
      <c r="K8" s="28"/>
      <c r="L8" s="21"/>
      <c r="M8" s="21"/>
      <c r="N8" s="21"/>
      <c r="O8" s="21"/>
      <c r="P8" s="108" t="str">
        <f>IF(COUNTIF(P14:P60, "NG")&gt;0, "REJECTED", IF(COUNTIF(P14:P60, "OK")&gt;0, "PASSED", ""))</f>
        <v>PASSED</v>
      </c>
      <c r="Q8" s="21"/>
      <c r="R8" s="30"/>
      <c r="S8" s="103"/>
      <c r="T8" s="103"/>
      <c r="U8" s="103"/>
      <c r="V8" s="103"/>
      <c r="W8" s="103"/>
      <c r="X8" s="103"/>
      <c r="Y8" s="103"/>
      <c r="Z8" s="103"/>
      <c r="AA8" s="103"/>
      <c r="AB8" s="103"/>
    </row>
    <row r="9" spans="1:28" ht="19.149999999999999" customHeight="1" x14ac:dyDescent="0.2">
      <c r="A9" s="69" t="s">
        <v>16</v>
      </c>
      <c r="B9" s="27"/>
      <c r="C9" s="28"/>
      <c r="D9" s="27"/>
      <c r="E9" s="28"/>
      <c r="F9" s="27"/>
      <c r="G9" s="27"/>
      <c r="I9" s="28"/>
      <c r="J9" s="27"/>
      <c r="K9" s="27"/>
      <c r="L9" s="21"/>
      <c r="M9" s="21"/>
      <c r="N9" s="21"/>
      <c r="O9" s="21"/>
      <c r="P9" s="109"/>
      <c r="Q9" s="21"/>
      <c r="R9" s="30"/>
      <c r="S9" s="103"/>
      <c r="T9" s="103"/>
      <c r="U9" s="103"/>
      <c r="V9" s="103"/>
      <c r="W9" s="103"/>
      <c r="X9" s="103"/>
      <c r="Y9" s="103"/>
      <c r="Z9" s="103"/>
      <c r="AA9" s="103"/>
      <c r="AB9" s="103"/>
    </row>
    <row r="10" spans="1:28" x14ac:dyDescent="0.2">
      <c r="A10" s="70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65"/>
      <c r="Q10" s="21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</row>
    <row r="11" spans="1:28" ht="20.45" customHeight="1" x14ac:dyDescent="0.2">
      <c r="A11" s="107" t="s">
        <v>17</v>
      </c>
      <c r="B11" s="91"/>
      <c r="C11" s="87"/>
      <c r="D11" s="87"/>
      <c r="E11" s="91"/>
      <c r="F11" s="87" t="s">
        <v>18</v>
      </c>
      <c r="G11" s="87"/>
      <c r="H11" s="87"/>
      <c r="I11" s="87"/>
      <c r="J11" s="87"/>
      <c r="K11" s="87"/>
      <c r="L11" s="87"/>
      <c r="M11" s="87"/>
      <c r="N11" s="87"/>
      <c r="O11" s="88"/>
      <c r="P11" s="71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</row>
    <row r="12" spans="1:28" ht="15" x14ac:dyDescent="0.2">
      <c r="A12" s="89" t="s">
        <v>19</v>
      </c>
      <c r="B12" s="91" t="s">
        <v>20</v>
      </c>
      <c r="C12" s="93" t="s">
        <v>21</v>
      </c>
      <c r="D12" s="88"/>
      <c r="E12" s="35" t="s">
        <v>22</v>
      </c>
      <c r="F12" s="85">
        <v>1</v>
      </c>
      <c r="G12" s="85">
        <v>2</v>
      </c>
      <c r="H12" s="85">
        <v>3</v>
      </c>
      <c r="I12" s="85">
        <v>4</v>
      </c>
      <c r="J12" s="85">
        <v>5</v>
      </c>
      <c r="K12" s="85">
        <v>6</v>
      </c>
      <c r="L12" s="85">
        <v>7</v>
      </c>
      <c r="M12" s="85">
        <v>8</v>
      </c>
      <c r="N12" s="85">
        <v>9</v>
      </c>
      <c r="O12" s="85">
        <v>10</v>
      </c>
      <c r="P12" s="72" t="s">
        <v>24</v>
      </c>
      <c r="S12" s="103"/>
      <c r="T12" s="103"/>
      <c r="U12" s="103"/>
      <c r="V12" s="103"/>
      <c r="W12" s="103"/>
      <c r="X12" s="103"/>
      <c r="Y12" s="103"/>
      <c r="Z12" s="103"/>
      <c r="AA12" s="103"/>
      <c r="AB12" s="103"/>
    </row>
    <row r="13" spans="1:28" ht="15" x14ac:dyDescent="0.2">
      <c r="A13" s="90"/>
      <c r="B13" s="92"/>
      <c r="C13" s="48" t="s">
        <v>25</v>
      </c>
      <c r="D13" s="36" t="s">
        <v>26</v>
      </c>
      <c r="E13" s="41"/>
      <c r="F13" s="93" t="s">
        <v>27</v>
      </c>
      <c r="G13" s="87"/>
      <c r="H13" s="87"/>
      <c r="I13" s="87"/>
      <c r="J13" s="87"/>
      <c r="K13" s="87"/>
      <c r="L13" s="87"/>
      <c r="M13" s="87"/>
      <c r="N13" s="87"/>
      <c r="O13" s="88"/>
      <c r="P13" s="7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</row>
    <row r="14" spans="1:28" ht="22.35" customHeight="1" x14ac:dyDescent="0.2">
      <c r="A14" s="74">
        <v>1</v>
      </c>
      <c r="B14" s="58">
        <v>5.1825000000000001</v>
      </c>
      <c r="C14" s="42">
        <v>-5.0000000000000001E-3</v>
      </c>
      <c r="D14" s="42">
        <v>5.0000000000000001E-3</v>
      </c>
      <c r="E14" s="84" t="s">
        <v>29</v>
      </c>
      <c r="F14" s="57">
        <v>5.1779999999999999</v>
      </c>
      <c r="G14" s="57">
        <v>5.1779999999999999</v>
      </c>
      <c r="H14" s="57"/>
      <c r="I14" s="57" t="s">
        <v>23</v>
      </c>
      <c r="J14" s="57" t="s">
        <v>23</v>
      </c>
      <c r="K14" s="57"/>
      <c r="L14" s="57" t="s">
        <v>23</v>
      </c>
      <c r="M14" s="57" t="s">
        <v>23</v>
      </c>
      <c r="N14" s="57" t="s">
        <v>23</v>
      </c>
      <c r="O14" s="57" t="s">
        <v>23</v>
      </c>
      <c r="P14" s="75" t="str">
        <f>IF(COUNT(F14:O14)=0, "", IF(OR(MIN(F14:O14) &lt; (B14+C14), MAX(F14:O14) &gt; (B14+D14)), "NG", "OK"))</f>
        <v>OK</v>
      </c>
      <c r="S14" s="103"/>
      <c r="T14" s="103"/>
      <c r="U14" s="103"/>
      <c r="V14" s="103"/>
      <c r="W14" s="103"/>
      <c r="X14" s="103"/>
      <c r="Y14" s="103"/>
      <c r="Z14" s="103"/>
      <c r="AA14" s="103"/>
      <c r="AB14" s="103"/>
    </row>
    <row r="15" spans="1:28" ht="22.35" customHeight="1" x14ac:dyDescent="0.2">
      <c r="A15" s="74">
        <v>2</v>
      </c>
      <c r="B15" s="58">
        <v>1.54</v>
      </c>
      <c r="C15" s="42">
        <v>-1E-3</v>
      </c>
      <c r="D15" s="42">
        <v>1E-3</v>
      </c>
      <c r="E15" s="84" t="s">
        <v>29</v>
      </c>
      <c r="F15" s="57">
        <v>1.5389999999999999</v>
      </c>
      <c r="G15" s="57">
        <v>1.5409999999999999</v>
      </c>
      <c r="H15" s="57"/>
      <c r="I15" s="57"/>
      <c r="J15" s="57"/>
      <c r="K15" s="57"/>
      <c r="L15" s="57"/>
      <c r="M15" s="57"/>
      <c r="N15" s="57"/>
      <c r="O15" s="57"/>
      <c r="P15" s="75" t="str">
        <f t="shared" ref="P15:P53" si="0">IF(COUNT(F15:O15)=0, "", IF(OR(MIN(F15:O15) &lt; (B15+C15), MAX(F15:O15) &gt; (B15+D15)), "NG", "OK"))</f>
        <v>OK</v>
      </c>
      <c r="S15" s="103"/>
      <c r="T15" s="103"/>
      <c r="U15" s="103"/>
      <c r="V15" s="103"/>
      <c r="W15" s="103"/>
      <c r="X15" s="103"/>
      <c r="Y15" s="103"/>
      <c r="Z15" s="103"/>
      <c r="AA15" s="103"/>
      <c r="AB15" s="103"/>
    </row>
    <row r="16" spans="1:28" ht="22.35" customHeight="1" x14ac:dyDescent="0.2">
      <c r="A16" s="74">
        <v>3</v>
      </c>
      <c r="B16" s="58">
        <v>34.340000000000003</v>
      </c>
      <c r="C16" s="42">
        <v>-5.0000000000000001E-3</v>
      </c>
      <c r="D16" s="42">
        <v>5.0000000000000001E-3</v>
      </c>
      <c r="E16" s="38" t="s">
        <v>29</v>
      </c>
      <c r="F16" s="57">
        <v>34.340000000000003</v>
      </c>
      <c r="G16" s="57">
        <v>34.337000000000003</v>
      </c>
      <c r="H16" s="57"/>
      <c r="I16" s="57"/>
      <c r="J16" s="57"/>
      <c r="K16" s="57"/>
      <c r="L16" s="57"/>
      <c r="M16" s="57"/>
      <c r="N16" s="57"/>
      <c r="O16" s="57"/>
      <c r="P16" s="75" t="str">
        <f t="shared" si="0"/>
        <v>OK</v>
      </c>
      <c r="S16" s="103"/>
      <c r="T16" s="103"/>
      <c r="U16" s="103"/>
      <c r="V16" s="103"/>
      <c r="W16" s="103"/>
      <c r="X16" s="103"/>
      <c r="Y16" s="103"/>
      <c r="Z16" s="103"/>
      <c r="AA16" s="103"/>
      <c r="AB16" s="103"/>
    </row>
    <row r="17" spans="1:28" ht="22.35" customHeight="1" x14ac:dyDescent="0.2">
      <c r="A17" s="74">
        <v>4</v>
      </c>
      <c r="B17" s="42">
        <v>28.03</v>
      </c>
      <c r="C17" s="42">
        <v>0</v>
      </c>
      <c r="D17" s="42">
        <v>5.0000000000000001E-3</v>
      </c>
      <c r="E17" s="38" t="s">
        <v>29</v>
      </c>
      <c r="F17" s="57">
        <v>28.032</v>
      </c>
      <c r="G17" s="57"/>
      <c r="H17" s="57"/>
      <c r="I17" s="57"/>
      <c r="J17" s="57"/>
      <c r="K17" s="57"/>
      <c r="L17" s="57"/>
      <c r="M17" s="57"/>
      <c r="N17" s="57"/>
      <c r="O17" s="57"/>
      <c r="P17" s="75" t="str">
        <f t="shared" si="0"/>
        <v>OK</v>
      </c>
      <c r="S17" s="103"/>
      <c r="T17" s="103"/>
      <c r="U17" s="103"/>
      <c r="V17" s="103"/>
      <c r="W17" s="103"/>
      <c r="X17" s="103"/>
      <c r="Y17" s="103"/>
      <c r="Z17" s="103"/>
      <c r="AA17" s="103"/>
      <c r="AB17" s="103"/>
    </row>
    <row r="18" spans="1:28" ht="22.35" customHeight="1" x14ac:dyDescent="0.2">
      <c r="A18" s="74">
        <v>5</v>
      </c>
      <c r="B18" s="42">
        <v>19</v>
      </c>
      <c r="C18" s="42">
        <v>-5.0000000000000001E-3</v>
      </c>
      <c r="D18" s="42">
        <v>0</v>
      </c>
      <c r="E18" s="38" t="s">
        <v>29</v>
      </c>
      <c r="F18" s="57">
        <v>18.997</v>
      </c>
      <c r="G18" s="57"/>
      <c r="H18" s="57"/>
      <c r="I18" s="57"/>
      <c r="J18" s="57"/>
      <c r="K18" s="57"/>
      <c r="L18" s="57"/>
      <c r="M18" s="57"/>
      <c r="N18" s="57"/>
      <c r="O18" s="57"/>
      <c r="P18" s="75" t="str">
        <f t="shared" si="0"/>
        <v>OK</v>
      </c>
      <c r="S18" s="103"/>
      <c r="T18" s="103"/>
      <c r="U18" s="103"/>
      <c r="V18" s="103"/>
      <c r="W18" s="103"/>
      <c r="X18" s="103"/>
      <c r="Y18" s="103"/>
      <c r="Z18" s="103"/>
      <c r="AA18" s="103"/>
      <c r="AB18" s="103"/>
    </row>
    <row r="19" spans="1:28" ht="22.35" customHeight="1" x14ac:dyDescent="0.2">
      <c r="A19" s="74">
        <v>6</v>
      </c>
      <c r="B19" s="42">
        <v>0.1825</v>
      </c>
      <c r="C19" s="42">
        <v>-5.0000000000000001E-3</v>
      </c>
      <c r="D19" s="42">
        <v>5.0000000000000001E-3</v>
      </c>
      <c r="E19" s="38" t="s">
        <v>29</v>
      </c>
      <c r="F19" s="57">
        <v>0.18379999999999999</v>
      </c>
      <c r="G19" s="57"/>
      <c r="H19" s="57"/>
      <c r="I19" s="57"/>
      <c r="J19" s="57"/>
      <c r="K19" s="57"/>
      <c r="L19" s="57"/>
      <c r="M19" s="57"/>
      <c r="N19" s="57"/>
      <c r="O19" s="57"/>
      <c r="P19" s="75" t="str">
        <f t="shared" si="0"/>
        <v>OK</v>
      </c>
      <c r="S19" s="103"/>
      <c r="T19" s="103"/>
      <c r="U19" s="103"/>
      <c r="V19" s="103"/>
      <c r="W19" s="103"/>
      <c r="X19" s="103"/>
      <c r="Y19" s="103"/>
      <c r="Z19" s="103"/>
      <c r="AA19" s="103"/>
      <c r="AB19" s="103"/>
    </row>
    <row r="20" spans="1:28" ht="22.35" customHeight="1" x14ac:dyDescent="0.2">
      <c r="A20" s="74">
        <v>7</v>
      </c>
      <c r="B20" s="42">
        <v>5</v>
      </c>
      <c r="C20" s="42">
        <v>-0.1</v>
      </c>
      <c r="D20" s="42">
        <v>0.1</v>
      </c>
      <c r="E20" s="38" t="s">
        <v>29</v>
      </c>
      <c r="F20" s="57">
        <v>5.0999999999999996</v>
      </c>
      <c r="G20" s="57"/>
      <c r="H20" s="57"/>
      <c r="I20" s="57"/>
      <c r="J20" s="57"/>
      <c r="K20" s="57"/>
      <c r="L20" s="57"/>
      <c r="M20" s="57"/>
      <c r="N20" s="57"/>
      <c r="O20" s="57"/>
      <c r="P20" s="75" t="str">
        <f t="shared" si="0"/>
        <v>OK</v>
      </c>
      <c r="S20" s="103"/>
      <c r="T20" s="103"/>
      <c r="U20" s="103"/>
      <c r="V20" s="103"/>
      <c r="W20" s="103"/>
      <c r="X20" s="103"/>
      <c r="Y20" s="103"/>
      <c r="Z20" s="103"/>
      <c r="AA20" s="103"/>
      <c r="AB20" s="103"/>
    </row>
    <row r="21" spans="1:28" ht="22.35" customHeight="1" x14ac:dyDescent="0.2">
      <c r="A21" s="74">
        <v>8</v>
      </c>
      <c r="B21" s="42">
        <v>33.14</v>
      </c>
      <c r="C21" s="42">
        <v>0</v>
      </c>
      <c r="D21" s="42">
        <v>5.0000000000000001E-3</v>
      </c>
      <c r="E21" s="38" t="s">
        <v>29</v>
      </c>
      <c r="F21" s="57">
        <v>33.142000000000003</v>
      </c>
      <c r="G21" s="57"/>
      <c r="H21" s="57"/>
      <c r="I21" s="57"/>
      <c r="J21" s="57"/>
      <c r="K21" s="57"/>
      <c r="L21" s="57"/>
      <c r="M21" s="57"/>
      <c r="N21" s="57"/>
      <c r="O21" s="57"/>
      <c r="P21" s="75" t="str">
        <f t="shared" si="0"/>
        <v>OK</v>
      </c>
      <c r="S21" s="103"/>
      <c r="T21" s="103"/>
      <c r="U21" s="103"/>
      <c r="V21" s="103"/>
      <c r="W21" s="103"/>
      <c r="X21" s="103"/>
      <c r="Y21" s="103"/>
      <c r="Z21" s="103"/>
      <c r="AA21" s="103"/>
      <c r="AB21" s="103"/>
    </row>
    <row r="22" spans="1:28" ht="22.35" customHeight="1" x14ac:dyDescent="0.2">
      <c r="A22" s="74">
        <v>9</v>
      </c>
      <c r="B22" s="42">
        <v>0.03</v>
      </c>
      <c r="C22" s="42">
        <v>-0.03</v>
      </c>
      <c r="D22" s="42">
        <v>0</v>
      </c>
      <c r="E22" s="38" t="s">
        <v>29</v>
      </c>
      <c r="F22" s="57">
        <v>0.01</v>
      </c>
      <c r="G22" s="57"/>
      <c r="H22" s="57"/>
      <c r="I22" s="57"/>
      <c r="J22" s="57"/>
      <c r="K22" s="57"/>
      <c r="L22" s="57"/>
      <c r="M22" s="57"/>
      <c r="N22" s="57"/>
      <c r="O22" s="57"/>
      <c r="P22" s="75" t="str">
        <f t="shared" si="0"/>
        <v>OK</v>
      </c>
      <c r="S22" s="103"/>
      <c r="T22" s="103"/>
      <c r="U22" s="103"/>
      <c r="V22" s="103"/>
      <c r="W22" s="103"/>
      <c r="X22" s="103"/>
      <c r="Y22" s="103"/>
      <c r="Z22" s="103"/>
      <c r="AA22" s="103"/>
      <c r="AB22" s="103"/>
    </row>
    <row r="23" spans="1:28" ht="22.35" customHeight="1" x14ac:dyDescent="0.2">
      <c r="A23" s="74">
        <v>10</v>
      </c>
      <c r="B23" s="42">
        <v>0.03</v>
      </c>
      <c r="C23" s="42">
        <v>-0.03</v>
      </c>
      <c r="D23" s="42">
        <v>0</v>
      </c>
      <c r="E23" s="38" t="s">
        <v>29</v>
      </c>
      <c r="F23" s="57">
        <v>0.01</v>
      </c>
      <c r="G23" s="57"/>
      <c r="H23" s="57"/>
      <c r="I23" s="57"/>
      <c r="J23" s="57"/>
      <c r="K23" s="57"/>
      <c r="L23" s="57"/>
      <c r="M23" s="57"/>
      <c r="N23" s="57"/>
      <c r="O23" s="57"/>
      <c r="P23" s="75" t="str">
        <f t="shared" si="0"/>
        <v>OK</v>
      </c>
      <c r="S23" s="103"/>
      <c r="T23" s="103"/>
      <c r="U23" s="103"/>
      <c r="V23" s="103"/>
      <c r="W23" s="103"/>
      <c r="X23" s="103"/>
      <c r="Y23" s="103"/>
      <c r="Z23" s="103"/>
      <c r="AA23" s="103"/>
      <c r="AB23" s="103"/>
    </row>
    <row r="24" spans="1:28" ht="22.35" customHeight="1" x14ac:dyDescent="0.2">
      <c r="A24" s="74">
        <v>11</v>
      </c>
      <c r="B24" s="58">
        <v>0.54</v>
      </c>
      <c r="C24" s="42">
        <v>0</v>
      </c>
      <c r="D24" s="42">
        <v>5.0000000000000001E-3</v>
      </c>
      <c r="E24" s="38" t="s">
        <v>29</v>
      </c>
      <c r="F24" s="57">
        <v>0.54400000000000004</v>
      </c>
      <c r="G24" s="57">
        <v>0.54200000000000004</v>
      </c>
      <c r="H24" s="57"/>
      <c r="I24" s="57"/>
      <c r="J24" s="57"/>
      <c r="K24" s="57"/>
      <c r="L24" s="57"/>
      <c r="M24" s="57"/>
      <c r="N24" s="57"/>
      <c r="O24" s="57"/>
      <c r="P24" s="75" t="str">
        <f t="shared" si="0"/>
        <v>OK</v>
      </c>
      <c r="S24" s="103"/>
      <c r="T24" s="103"/>
      <c r="U24" s="103"/>
      <c r="V24" s="103"/>
      <c r="W24" s="103"/>
      <c r="X24" s="103"/>
      <c r="Y24" s="103"/>
      <c r="Z24" s="103"/>
      <c r="AA24" s="103"/>
      <c r="AB24" s="103"/>
    </row>
    <row r="25" spans="1:28" ht="22.35" customHeight="1" x14ac:dyDescent="0.2">
      <c r="A25" s="74">
        <v>12</v>
      </c>
      <c r="B25" s="58">
        <v>0.17499999999999999</v>
      </c>
      <c r="C25" s="42">
        <v>0</v>
      </c>
      <c r="D25" s="42">
        <v>5.0000000000000001E-3</v>
      </c>
      <c r="E25" s="38" t="s">
        <v>29</v>
      </c>
      <c r="F25" s="57">
        <v>0.17499999999999999</v>
      </c>
      <c r="G25" s="57">
        <v>0.17599999999999999</v>
      </c>
      <c r="H25" s="57"/>
      <c r="I25" s="57"/>
      <c r="J25" s="57"/>
      <c r="K25" s="57"/>
      <c r="L25" s="57"/>
      <c r="M25" s="57"/>
      <c r="N25" s="57"/>
      <c r="O25" s="57"/>
      <c r="P25" s="75" t="str">
        <f t="shared" si="0"/>
        <v>OK</v>
      </c>
      <c r="S25" s="103"/>
      <c r="T25" s="103"/>
      <c r="U25" s="103"/>
      <c r="V25" s="103"/>
      <c r="W25" s="103"/>
      <c r="X25" s="103"/>
      <c r="Y25" s="103"/>
      <c r="Z25" s="103"/>
      <c r="AA25" s="103"/>
      <c r="AB25" s="103"/>
    </row>
    <row r="26" spans="1:28" ht="22.35" customHeight="1" x14ac:dyDescent="0.2">
      <c r="A26" s="74">
        <v>13</v>
      </c>
      <c r="B26" s="58">
        <v>0.17499999999999999</v>
      </c>
      <c r="C26" s="42">
        <v>0</v>
      </c>
      <c r="D26" s="42">
        <v>5.0000000000000001E-3</v>
      </c>
      <c r="E26" s="38" t="s">
        <v>29</v>
      </c>
      <c r="F26" s="57">
        <v>0.17599999999999999</v>
      </c>
      <c r="G26" s="57">
        <v>0.17899999999999999</v>
      </c>
      <c r="H26" s="57"/>
      <c r="I26" s="57"/>
      <c r="J26" s="57"/>
      <c r="K26" s="57"/>
      <c r="L26" s="57"/>
      <c r="M26" s="57"/>
      <c r="N26" s="57"/>
      <c r="O26" s="57"/>
      <c r="P26" s="75" t="str">
        <f t="shared" si="0"/>
        <v>OK</v>
      </c>
      <c r="S26" s="103"/>
      <c r="T26" s="103"/>
      <c r="U26" s="103"/>
      <c r="V26" s="103"/>
      <c r="W26" s="103"/>
      <c r="X26" s="103"/>
      <c r="Y26" s="103"/>
      <c r="Z26" s="103"/>
      <c r="AA26" s="103"/>
      <c r="AB26" s="103"/>
    </row>
    <row r="27" spans="1:28" ht="22.35" customHeight="1" x14ac:dyDescent="0.2">
      <c r="A27" s="74">
        <v>14</v>
      </c>
      <c r="B27" s="58">
        <v>0.17499999999999999</v>
      </c>
      <c r="C27" s="42">
        <v>0</v>
      </c>
      <c r="D27" s="42">
        <v>5.0000000000000001E-3</v>
      </c>
      <c r="E27" s="38" t="s">
        <v>29</v>
      </c>
      <c r="F27" s="57">
        <v>0.17799999999999999</v>
      </c>
      <c r="G27" s="57">
        <v>0.17499999999999999</v>
      </c>
      <c r="H27" s="57"/>
      <c r="I27" s="57"/>
      <c r="J27" s="57"/>
      <c r="K27" s="57"/>
      <c r="L27" s="57"/>
      <c r="M27" s="57"/>
      <c r="N27" s="57"/>
      <c r="O27" s="57"/>
      <c r="P27" s="75" t="str">
        <f t="shared" si="0"/>
        <v>OK</v>
      </c>
      <c r="S27" s="103"/>
      <c r="T27" s="103"/>
      <c r="U27" s="103"/>
      <c r="V27" s="103"/>
      <c r="W27" s="103"/>
      <c r="X27" s="103"/>
      <c r="Y27" s="103"/>
      <c r="Z27" s="103"/>
      <c r="AA27" s="103"/>
      <c r="AB27" s="103"/>
    </row>
    <row r="28" spans="1:28" ht="22.35" customHeight="1" x14ac:dyDescent="0.2">
      <c r="A28" s="74">
        <v>15</v>
      </c>
      <c r="B28" s="58">
        <v>0.17499999999999999</v>
      </c>
      <c r="C28" s="42">
        <v>0</v>
      </c>
      <c r="D28" s="42">
        <v>5.0000000000000001E-3</v>
      </c>
      <c r="E28" s="38" t="s">
        <v>29</v>
      </c>
      <c r="F28" s="57">
        <v>0.17699999999999999</v>
      </c>
      <c r="G28" s="57">
        <v>0.17699999999999999</v>
      </c>
      <c r="H28" s="57"/>
      <c r="I28" s="57"/>
      <c r="J28" s="57"/>
      <c r="K28" s="57"/>
      <c r="L28" s="57"/>
      <c r="M28" s="57"/>
      <c r="N28" s="57"/>
      <c r="O28" s="57"/>
      <c r="P28" s="75" t="str">
        <f t="shared" si="0"/>
        <v>OK</v>
      </c>
      <c r="S28" s="103"/>
      <c r="T28" s="103"/>
      <c r="U28" s="103"/>
      <c r="V28" s="103"/>
      <c r="W28" s="103"/>
      <c r="X28" s="103"/>
      <c r="Y28" s="103"/>
      <c r="Z28" s="103"/>
      <c r="AA28" s="103"/>
      <c r="AB28" s="103"/>
    </row>
    <row r="29" spans="1:28" ht="22.35" customHeight="1" x14ac:dyDescent="0.2">
      <c r="A29" s="74">
        <v>16</v>
      </c>
      <c r="B29" s="58">
        <v>0.17499999999999999</v>
      </c>
      <c r="C29" s="42">
        <v>0</v>
      </c>
      <c r="D29" s="42">
        <v>5.0000000000000001E-3</v>
      </c>
      <c r="E29" s="38" t="s">
        <v>29</v>
      </c>
      <c r="F29" s="57">
        <v>0.17699999999999999</v>
      </c>
      <c r="G29" s="57">
        <v>0.17499999999999999</v>
      </c>
      <c r="H29" s="57"/>
      <c r="I29" s="57"/>
      <c r="J29" s="57"/>
      <c r="K29" s="57"/>
      <c r="L29" s="57"/>
      <c r="M29" s="57"/>
      <c r="N29" s="57"/>
      <c r="O29" s="57"/>
      <c r="P29" s="75" t="str">
        <f t="shared" si="0"/>
        <v>OK</v>
      </c>
      <c r="S29" s="103"/>
      <c r="T29" s="103"/>
      <c r="U29" s="103"/>
      <c r="V29" s="103"/>
      <c r="W29" s="103"/>
      <c r="X29" s="103"/>
      <c r="Y29" s="103"/>
      <c r="Z29" s="103"/>
      <c r="AA29" s="103"/>
      <c r="AB29" s="103"/>
    </row>
    <row r="30" spans="1:28" ht="22.35" customHeight="1" x14ac:dyDescent="0.2">
      <c r="A30" s="74">
        <v>17</v>
      </c>
      <c r="B30" s="58">
        <v>0.17499999999999999</v>
      </c>
      <c r="C30" s="42">
        <v>0</v>
      </c>
      <c r="D30" s="42">
        <v>5.0000000000000001E-3</v>
      </c>
      <c r="E30" s="38" t="s">
        <v>29</v>
      </c>
      <c r="F30" s="57">
        <v>0.17699999999999999</v>
      </c>
      <c r="G30" s="57">
        <v>0.17499999999999999</v>
      </c>
      <c r="H30" s="57"/>
      <c r="I30" s="57"/>
      <c r="J30" s="57"/>
      <c r="K30" s="57"/>
      <c r="L30" s="57"/>
      <c r="M30" s="57"/>
      <c r="N30" s="57"/>
      <c r="O30" s="57"/>
      <c r="P30" s="75" t="str">
        <f t="shared" si="0"/>
        <v>OK</v>
      </c>
      <c r="S30" s="103"/>
      <c r="T30" s="103"/>
      <c r="U30" s="103"/>
      <c r="V30" s="103"/>
      <c r="W30" s="103"/>
      <c r="X30" s="103"/>
      <c r="Y30" s="103"/>
      <c r="Z30" s="103"/>
      <c r="AA30" s="103"/>
      <c r="AB30" s="103"/>
    </row>
    <row r="31" spans="1:28" ht="22.35" customHeight="1" x14ac:dyDescent="0.2">
      <c r="A31" s="74">
        <v>18</v>
      </c>
      <c r="B31" s="58">
        <v>0.17499999999999999</v>
      </c>
      <c r="C31" s="42">
        <v>0</v>
      </c>
      <c r="D31" s="42">
        <v>5.0000000000000001E-3</v>
      </c>
      <c r="E31" s="38" t="s">
        <v>29</v>
      </c>
      <c r="F31" s="57">
        <v>0.17799999999999999</v>
      </c>
      <c r="G31" s="57">
        <v>0.17499999999999999</v>
      </c>
      <c r="H31" s="57"/>
      <c r="I31" s="57"/>
      <c r="J31" s="57"/>
      <c r="K31" s="57"/>
      <c r="L31" s="57"/>
      <c r="M31" s="57"/>
      <c r="N31" s="57"/>
      <c r="O31" s="57"/>
      <c r="P31" s="75" t="str">
        <f t="shared" si="0"/>
        <v>OK</v>
      </c>
      <c r="S31" s="103"/>
      <c r="T31" s="103"/>
      <c r="U31" s="103"/>
      <c r="V31" s="103"/>
      <c r="W31" s="103"/>
      <c r="X31" s="103"/>
      <c r="Y31" s="103"/>
      <c r="Z31" s="103"/>
      <c r="AA31" s="103"/>
      <c r="AB31" s="103"/>
    </row>
    <row r="32" spans="1:28" ht="22.35" customHeight="1" x14ac:dyDescent="0.2">
      <c r="A32" s="74">
        <v>19</v>
      </c>
      <c r="B32" s="58">
        <v>0.17499999999999999</v>
      </c>
      <c r="C32" s="42">
        <v>0</v>
      </c>
      <c r="D32" s="42">
        <v>5.0000000000000001E-3</v>
      </c>
      <c r="E32" s="38" t="s">
        <v>29</v>
      </c>
      <c r="F32" s="57">
        <v>0.17899999999999999</v>
      </c>
      <c r="G32" s="57">
        <v>0.17499999999999999</v>
      </c>
      <c r="H32" s="57"/>
      <c r="I32" s="57"/>
      <c r="J32" s="57"/>
      <c r="K32" s="57"/>
      <c r="L32" s="57"/>
      <c r="M32" s="57"/>
      <c r="N32" s="57"/>
      <c r="O32" s="57"/>
      <c r="P32" s="75" t="str">
        <f t="shared" si="0"/>
        <v>OK</v>
      </c>
      <c r="S32" s="103"/>
      <c r="T32" s="103"/>
      <c r="U32" s="103"/>
      <c r="V32" s="103"/>
      <c r="W32" s="103"/>
      <c r="X32" s="103"/>
      <c r="Y32" s="103"/>
      <c r="Z32" s="103"/>
      <c r="AA32" s="103"/>
      <c r="AB32" s="103"/>
    </row>
    <row r="33" spans="1:28" ht="22.35" customHeight="1" x14ac:dyDescent="0.2">
      <c r="A33" s="74">
        <v>20</v>
      </c>
      <c r="B33" s="58">
        <v>0.17499999999999999</v>
      </c>
      <c r="C33" s="42">
        <v>0</v>
      </c>
      <c r="D33" s="42">
        <v>5.0000000000000001E-3</v>
      </c>
      <c r="E33" s="38" t="s">
        <v>29</v>
      </c>
      <c r="F33" s="57">
        <v>0.18</v>
      </c>
      <c r="G33" s="57">
        <v>0.17599999999999999</v>
      </c>
      <c r="H33" s="57"/>
      <c r="I33" s="57"/>
      <c r="J33" s="57"/>
      <c r="K33" s="57"/>
      <c r="L33" s="57"/>
      <c r="M33" s="57"/>
      <c r="N33" s="57"/>
      <c r="O33" s="57"/>
      <c r="P33" s="75" t="str">
        <f t="shared" si="0"/>
        <v>OK</v>
      </c>
      <c r="S33" s="103"/>
      <c r="T33" s="103"/>
      <c r="U33" s="103"/>
      <c r="V33" s="103"/>
      <c r="W33" s="103"/>
      <c r="X33" s="103"/>
      <c r="Y33" s="103"/>
      <c r="Z33" s="103"/>
      <c r="AA33" s="103"/>
      <c r="AB33" s="103"/>
    </row>
    <row r="34" spans="1:28" ht="22.35" customHeight="1" x14ac:dyDescent="0.2">
      <c r="A34" s="74">
        <v>21</v>
      </c>
      <c r="B34" s="58">
        <v>0.17499999999999999</v>
      </c>
      <c r="C34" s="42">
        <v>0</v>
      </c>
      <c r="D34" s="42">
        <v>5.0000000000000001E-3</v>
      </c>
      <c r="E34" s="38" t="s">
        <v>29</v>
      </c>
      <c r="F34" s="57">
        <v>0.17599999999999999</v>
      </c>
      <c r="G34" s="57">
        <v>0.17899999999999999</v>
      </c>
      <c r="H34" s="57"/>
      <c r="I34" s="57"/>
      <c r="J34" s="57"/>
      <c r="K34" s="57"/>
      <c r="L34" s="57"/>
      <c r="M34" s="57"/>
      <c r="N34" s="57"/>
      <c r="O34" s="57"/>
      <c r="P34" s="75" t="str">
        <f t="shared" si="0"/>
        <v>OK</v>
      </c>
      <c r="S34" s="103"/>
      <c r="T34" s="103"/>
      <c r="U34" s="103"/>
      <c r="V34" s="103"/>
      <c r="W34" s="103"/>
      <c r="X34" s="103"/>
      <c r="Y34" s="103"/>
      <c r="Z34" s="103"/>
      <c r="AA34" s="103"/>
      <c r="AB34" s="103"/>
    </row>
    <row r="35" spans="1:28" ht="22.35" customHeight="1" x14ac:dyDescent="0.2">
      <c r="A35" s="74">
        <v>22</v>
      </c>
      <c r="B35" s="58">
        <v>0.17499999999999999</v>
      </c>
      <c r="C35" s="42">
        <v>0</v>
      </c>
      <c r="D35" s="42">
        <v>5.0000000000000001E-3</v>
      </c>
      <c r="E35" s="38" t="s">
        <v>29</v>
      </c>
      <c r="F35" s="57">
        <v>0.17499999999999999</v>
      </c>
      <c r="G35" s="57">
        <v>0.17899999999999999</v>
      </c>
      <c r="H35" s="57"/>
      <c r="I35" s="57"/>
      <c r="J35" s="57"/>
      <c r="K35" s="57"/>
      <c r="L35" s="57"/>
      <c r="M35" s="57"/>
      <c r="N35" s="57"/>
      <c r="O35" s="57"/>
      <c r="P35" s="75" t="str">
        <f t="shared" si="0"/>
        <v>OK</v>
      </c>
      <c r="S35" s="103"/>
      <c r="T35" s="103"/>
      <c r="U35" s="103"/>
      <c r="V35" s="103"/>
      <c r="W35" s="103"/>
      <c r="X35" s="103"/>
      <c r="Y35" s="103"/>
      <c r="Z35" s="103"/>
      <c r="AA35" s="103"/>
      <c r="AB35" s="103"/>
    </row>
    <row r="36" spans="1:28" ht="22.35" customHeight="1" x14ac:dyDescent="0.2">
      <c r="A36" s="74">
        <v>23</v>
      </c>
      <c r="B36" s="58">
        <v>0.17499999999999999</v>
      </c>
      <c r="C36" s="42">
        <v>0</v>
      </c>
      <c r="D36" s="42">
        <v>5.0000000000000001E-3</v>
      </c>
      <c r="E36" s="38" t="s">
        <v>29</v>
      </c>
      <c r="F36" s="57">
        <v>0.17499999999999999</v>
      </c>
      <c r="G36" s="57">
        <v>0.17499999999999999</v>
      </c>
      <c r="H36" s="57"/>
      <c r="I36" s="57"/>
      <c r="J36" s="57"/>
      <c r="K36" s="57"/>
      <c r="L36" s="57"/>
      <c r="M36" s="57"/>
      <c r="N36" s="57"/>
      <c r="O36" s="57"/>
      <c r="P36" s="75" t="str">
        <f t="shared" si="0"/>
        <v>OK</v>
      </c>
      <c r="S36" s="103"/>
      <c r="T36" s="103"/>
      <c r="U36" s="103"/>
      <c r="V36" s="103"/>
      <c r="W36" s="103"/>
      <c r="X36" s="103"/>
      <c r="Y36" s="103"/>
      <c r="Z36" s="103"/>
      <c r="AA36" s="103"/>
      <c r="AB36" s="103"/>
    </row>
    <row r="37" spans="1:28" ht="22.35" customHeight="1" x14ac:dyDescent="0.2">
      <c r="A37" s="74">
        <v>24</v>
      </c>
      <c r="B37" s="58">
        <v>0.17499999999999999</v>
      </c>
      <c r="C37" s="42">
        <v>0</v>
      </c>
      <c r="D37" s="42">
        <v>5.0000000000000001E-3</v>
      </c>
      <c r="E37" s="38" t="s">
        <v>29</v>
      </c>
      <c r="F37" s="57">
        <v>0.17499999999999999</v>
      </c>
      <c r="G37" s="57">
        <v>0.17699999999999999</v>
      </c>
      <c r="H37" s="57"/>
      <c r="I37" s="57"/>
      <c r="J37" s="57"/>
      <c r="K37" s="57"/>
      <c r="L37" s="57"/>
      <c r="M37" s="57"/>
      <c r="N37" s="57"/>
      <c r="O37" s="57"/>
      <c r="P37" s="75" t="str">
        <f t="shared" si="0"/>
        <v>OK</v>
      </c>
      <c r="S37" s="103"/>
      <c r="T37" s="103"/>
      <c r="U37" s="103"/>
      <c r="V37" s="103"/>
      <c r="W37" s="103"/>
      <c r="X37" s="103"/>
      <c r="Y37" s="103"/>
      <c r="Z37" s="103"/>
      <c r="AA37" s="103"/>
      <c r="AB37" s="103"/>
    </row>
    <row r="38" spans="1:28" ht="22.35" customHeight="1" x14ac:dyDescent="0.2">
      <c r="A38" s="74">
        <v>25</v>
      </c>
      <c r="B38" s="58">
        <v>0.17499999999999999</v>
      </c>
      <c r="C38" s="42">
        <v>0</v>
      </c>
      <c r="D38" s="42">
        <v>5.0000000000000001E-3</v>
      </c>
      <c r="E38" s="38" t="s">
        <v>29</v>
      </c>
      <c r="F38" s="57">
        <v>0.17699999999999999</v>
      </c>
      <c r="G38" s="57">
        <v>0.17499999999999999</v>
      </c>
      <c r="H38" s="57"/>
      <c r="I38" s="57"/>
      <c r="J38" s="57"/>
      <c r="K38" s="57"/>
      <c r="L38" s="57"/>
      <c r="M38" s="57"/>
      <c r="N38" s="57"/>
      <c r="O38" s="57"/>
      <c r="P38" s="75" t="str">
        <f t="shared" si="0"/>
        <v>OK</v>
      </c>
      <c r="S38" s="103"/>
      <c r="T38" s="103"/>
      <c r="U38" s="103"/>
      <c r="V38" s="103"/>
      <c r="W38" s="103"/>
      <c r="X38" s="103"/>
      <c r="Y38" s="103"/>
      <c r="Z38" s="103"/>
      <c r="AA38" s="103"/>
      <c r="AB38" s="103"/>
    </row>
    <row r="39" spans="1:28" ht="22.35" customHeight="1" x14ac:dyDescent="0.2">
      <c r="A39" s="74">
        <v>26</v>
      </c>
      <c r="B39" s="58">
        <v>0.17499999999999999</v>
      </c>
      <c r="C39" s="42">
        <v>0</v>
      </c>
      <c r="D39" s="42">
        <v>5.0000000000000001E-3</v>
      </c>
      <c r="E39" s="38" t="s">
        <v>29</v>
      </c>
      <c r="F39" s="57">
        <v>0.17699999999999999</v>
      </c>
      <c r="G39" s="57">
        <v>0.17499999999999999</v>
      </c>
      <c r="H39" s="57"/>
      <c r="I39" s="57"/>
      <c r="J39" s="57"/>
      <c r="K39" s="57"/>
      <c r="L39" s="57"/>
      <c r="M39" s="57"/>
      <c r="N39" s="57"/>
      <c r="O39" s="57"/>
      <c r="P39" s="75" t="str">
        <f t="shared" si="0"/>
        <v>OK</v>
      </c>
      <c r="S39" s="103"/>
      <c r="T39" s="103"/>
      <c r="U39" s="103"/>
      <c r="V39" s="103"/>
      <c r="W39" s="103"/>
      <c r="X39" s="103"/>
      <c r="Y39" s="103"/>
      <c r="Z39" s="103"/>
      <c r="AA39" s="103"/>
      <c r="AB39" s="103"/>
    </row>
    <row r="40" spans="1:28" ht="22.35" customHeight="1" x14ac:dyDescent="0.2">
      <c r="A40" s="74">
        <v>27</v>
      </c>
      <c r="B40" s="58">
        <v>0.17499999999999999</v>
      </c>
      <c r="C40" s="42">
        <v>0</v>
      </c>
      <c r="D40" s="42">
        <v>5.0000000000000001E-3</v>
      </c>
      <c r="E40" s="38" t="s">
        <v>29</v>
      </c>
      <c r="F40" s="57">
        <v>0.17499999999999999</v>
      </c>
      <c r="G40" s="57">
        <v>0.17599999999999999</v>
      </c>
      <c r="H40" s="57"/>
      <c r="I40" s="57"/>
      <c r="J40" s="57"/>
      <c r="K40" s="57"/>
      <c r="L40" s="57"/>
      <c r="M40" s="57"/>
      <c r="N40" s="57"/>
      <c r="O40" s="57"/>
      <c r="P40" s="75" t="str">
        <f t="shared" si="0"/>
        <v>OK</v>
      </c>
      <c r="S40" s="103"/>
      <c r="T40" s="103"/>
      <c r="U40" s="103"/>
      <c r="V40" s="103"/>
      <c r="W40" s="103"/>
      <c r="X40" s="103"/>
      <c r="Y40" s="103"/>
      <c r="Z40" s="103"/>
      <c r="AA40" s="103"/>
      <c r="AB40" s="103"/>
    </row>
    <row r="41" spans="1:28" ht="22.35" customHeight="1" x14ac:dyDescent="0.2">
      <c r="A41" s="74">
        <v>28</v>
      </c>
      <c r="B41" s="58">
        <v>0.17499999999999999</v>
      </c>
      <c r="C41" s="42">
        <v>0</v>
      </c>
      <c r="D41" s="42">
        <v>5.0000000000000001E-3</v>
      </c>
      <c r="E41" s="38" t="s">
        <v>29</v>
      </c>
      <c r="F41" s="57">
        <v>0.17599999999999999</v>
      </c>
      <c r="G41" s="57">
        <v>0.17499999999999999</v>
      </c>
      <c r="H41" s="57"/>
      <c r="I41" s="57"/>
      <c r="J41" s="57"/>
      <c r="K41" s="57"/>
      <c r="L41" s="57"/>
      <c r="M41" s="57"/>
      <c r="N41" s="57"/>
      <c r="O41" s="57"/>
      <c r="P41" s="75" t="str">
        <f t="shared" si="0"/>
        <v>OK</v>
      </c>
      <c r="S41" s="103"/>
      <c r="T41" s="103"/>
      <c r="U41" s="103"/>
      <c r="V41" s="103"/>
      <c r="W41" s="103"/>
      <c r="X41" s="103"/>
      <c r="Y41" s="103"/>
      <c r="Z41" s="103"/>
      <c r="AA41" s="103"/>
      <c r="AB41" s="103"/>
    </row>
    <row r="42" spans="1:28" ht="22.35" customHeight="1" x14ac:dyDescent="0.2">
      <c r="A42" s="74">
        <v>29</v>
      </c>
      <c r="B42" s="58">
        <v>0.17499999999999999</v>
      </c>
      <c r="C42" s="42">
        <v>0</v>
      </c>
      <c r="D42" s="42">
        <v>5.0000000000000001E-3</v>
      </c>
      <c r="E42" s="38" t="s">
        <v>29</v>
      </c>
      <c r="F42" s="57">
        <v>0.17699999999999999</v>
      </c>
      <c r="G42" s="57">
        <v>0.17499999999999999</v>
      </c>
      <c r="H42" s="57"/>
      <c r="I42" s="57"/>
      <c r="J42" s="57"/>
      <c r="K42" s="57"/>
      <c r="L42" s="57"/>
      <c r="M42" s="57"/>
      <c r="N42" s="57"/>
      <c r="O42" s="57"/>
      <c r="P42" s="75" t="str">
        <f t="shared" si="0"/>
        <v>OK</v>
      </c>
      <c r="S42" s="103"/>
      <c r="T42" s="103"/>
      <c r="U42" s="103"/>
      <c r="V42" s="103"/>
      <c r="W42" s="103"/>
      <c r="X42" s="103"/>
      <c r="Y42" s="103"/>
      <c r="Z42" s="103"/>
      <c r="AA42" s="103"/>
      <c r="AB42" s="103"/>
    </row>
    <row r="43" spans="1:28" ht="22.35" customHeight="1" x14ac:dyDescent="0.2">
      <c r="A43" s="74">
        <v>30</v>
      </c>
      <c r="B43" s="58">
        <v>0.17499999999999999</v>
      </c>
      <c r="C43" s="42">
        <v>0</v>
      </c>
      <c r="D43" s="42">
        <v>5.0000000000000001E-3</v>
      </c>
      <c r="E43" s="38" t="s">
        <v>29</v>
      </c>
      <c r="F43" s="57">
        <v>0.17499999999999999</v>
      </c>
      <c r="G43" s="57">
        <v>0.17799999999999999</v>
      </c>
      <c r="H43" s="57"/>
      <c r="I43" s="57"/>
      <c r="J43" s="57"/>
      <c r="K43" s="57"/>
      <c r="L43" s="57"/>
      <c r="M43" s="57"/>
      <c r="N43" s="57"/>
      <c r="O43" s="57"/>
      <c r="P43" s="75" t="str">
        <f t="shared" si="0"/>
        <v>OK</v>
      </c>
      <c r="S43" s="103"/>
      <c r="T43" s="103"/>
      <c r="U43" s="103"/>
      <c r="V43" s="103"/>
      <c r="W43" s="103"/>
      <c r="X43" s="103"/>
      <c r="Y43" s="103"/>
      <c r="Z43" s="103"/>
      <c r="AA43" s="103"/>
      <c r="AB43" s="103"/>
    </row>
    <row r="44" spans="1:28" ht="22.35" customHeight="1" x14ac:dyDescent="0.2">
      <c r="A44" s="74">
        <v>31</v>
      </c>
      <c r="B44" s="58">
        <v>0.17499999999999999</v>
      </c>
      <c r="C44" s="42">
        <v>0</v>
      </c>
      <c r="D44" s="42">
        <v>5.0000000000000001E-3</v>
      </c>
      <c r="E44" s="38" t="s">
        <v>29</v>
      </c>
      <c r="F44" s="57">
        <v>0.17599999999999999</v>
      </c>
      <c r="G44" s="57">
        <v>0.17699999999999999</v>
      </c>
      <c r="H44" s="57"/>
      <c r="I44" s="57"/>
      <c r="J44" s="57"/>
      <c r="K44" s="57"/>
      <c r="L44" s="57"/>
      <c r="M44" s="57"/>
      <c r="N44" s="57"/>
      <c r="O44" s="57"/>
      <c r="P44" s="75" t="str">
        <f t="shared" si="0"/>
        <v>OK</v>
      </c>
      <c r="S44" s="103"/>
      <c r="T44" s="103"/>
      <c r="U44" s="103"/>
      <c r="V44" s="103"/>
      <c r="W44" s="103"/>
      <c r="X44" s="103"/>
      <c r="Y44" s="103"/>
      <c r="Z44" s="103"/>
      <c r="AA44" s="103"/>
      <c r="AB44" s="103"/>
    </row>
    <row r="45" spans="1:28" ht="22.35" customHeight="1" x14ac:dyDescent="0.2">
      <c r="A45" s="74">
        <v>32</v>
      </c>
      <c r="B45" s="42">
        <v>8.7499999999999994E-2</v>
      </c>
      <c r="C45" s="42">
        <v>-2E-3</v>
      </c>
      <c r="D45" s="42">
        <v>2E-3</v>
      </c>
      <c r="E45" s="38" t="s">
        <v>29</v>
      </c>
      <c r="F45" s="57">
        <v>8.7499999999999994E-2</v>
      </c>
      <c r="G45" s="57"/>
      <c r="H45" s="57"/>
      <c r="I45" s="57"/>
      <c r="J45" s="57"/>
      <c r="K45" s="57"/>
      <c r="L45" s="57"/>
      <c r="M45" s="57"/>
      <c r="N45" s="57"/>
      <c r="O45" s="57"/>
      <c r="P45" s="75" t="str">
        <f t="shared" si="0"/>
        <v>OK</v>
      </c>
      <c r="S45" s="103"/>
      <c r="T45" s="103"/>
      <c r="U45" s="103"/>
      <c r="V45" s="103"/>
      <c r="W45" s="103"/>
      <c r="X45" s="103"/>
      <c r="Y45" s="103"/>
      <c r="Z45" s="103"/>
      <c r="AA45" s="103"/>
      <c r="AB45" s="103"/>
    </row>
    <row r="46" spans="1:28" ht="22.35" customHeight="1" x14ac:dyDescent="0.2">
      <c r="A46" s="74">
        <v>33</v>
      </c>
      <c r="B46" s="42">
        <v>0.58750000000000002</v>
      </c>
      <c r="C46" s="42">
        <v>-2E-3</v>
      </c>
      <c r="D46" s="42">
        <v>2E-3</v>
      </c>
      <c r="E46" s="38" t="s">
        <v>29</v>
      </c>
      <c r="F46" s="57">
        <v>0.58950000000000002</v>
      </c>
      <c r="G46" s="57"/>
      <c r="H46" s="57"/>
      <c r="I46" s="57"/>
      <c r="J46" s="57"/>
      <c r="K46" s="57"/>
      <c r="L46" s="57"/>
      <c r="M46" s="57"/>
      <c r="N46" s="57"/>
      <c r="O46" s="57"/>
      <c r="P46" s="75" t="str">
        <f t="shared" si="0"/>
        <v>OK</v>
      </c>
      <c r="S46" s="103"/>
      <c r="T46" s="103"/>
      <c r="U46" s="103"/>
      <c r="V46" s="103"/>
      <c r="W46" s="103"/>
      <c r="X46" s="103"/>
      <c r="Y46" s="103"/>
      <c r="Z46" s="103"/>
      <c r="AA46" s="103"/>
      <c r="AB46" s="103"/>
    </row>
    <row r="47" spans="1:28" ht="22.35" customHeight="1" x14ac:dyDescent="0.2">
      <c r="A47" s="74">
        <v>34</v>
      </c>
      <c r="B47" s="42">
        <v>1.0874999999999999</v>
      </c>
      <c r="C47" s="42">
        <v>-2E-3</v>
      </c>
      <c r="D47" s="42">
        <v>2E-3</v>
      </c>
      <c r="E47" s="38" t="s">
        <v>29</v>
      </c>
      <c r="F47" s="57">
        <v>1.0891</v>
      </c>
      <c r="G47" s="57"/>
      <c r="H47" s="57"/>
      <c r="I47" s="57"/>
      <c r="J47" s="57"/>
      <c r="K47" s="57"/>
      <c r="L47" s="57"/>
      <c r="M47" s="57"/>
      <c r="N47" s="57"/>
      <c r="O47" s="57"/>
      <c r="P47" s="75" t="str">
        <f t="shared" si="0"/>
        <v>OK</v>
      </c>
      <c r="S47" s="103"/>
      <c r="T47" s="103"/>
      <c r="U47" s="103"/>
      <c r="V47" s="103"/>
      <c r="W47" s="103"/>
      <c r="X47" s="103"/>
      <c r="Y47" s="103"/>
      <c r="Z47" s="103"/>
      <c r="AA47" s="103"/>
      <c r="AB47" s="103"/>
    </row>
    <row r="48" spans="1:28" ht="22.35" customHeight="1" x14ac:dyDescent="0.2">
      <c r="A48" s="74">
        <v>35</v>
      </c>
      <c r="B48" s="42">
        <v>1.5874999999999999</v>
      </c>
      <c r="C48" s="42">
        <v>-2E-3</v>
      </c>
      <c r="D48" s="42">
        <v>2E-3</v>
      </c>
      <c r="E48" s="38" t="s">
        <v>29</v>
      </c>
      <c r="F48" s="57">
        <v>1.5894999999999999</v>
      </c>
      <c r="G48" s="57"/>
      <c r="H48" s="57"/>
      <c r="I48" s="57"/>
      <c r="J48" s="57"/>
      <c r="K48" s="57"/>
      <c r="L48" s="57"/>
      <c r="M48" s="57"/>
      <c r="N48" s="57"/>
      <c r="O48" s="57"/>
      <c r="P48" s="75" t="str">
        <f t="shared" si="0"/>
        <v>OK</v>
      </c>
      <c r="S48" s="103"/>
      <c r="T48" s="103"/>
      <c r="U48" s="103"/>
      <c r="V48" s="103"/>
      <c r="W48" s="103"/>
      <c r="X48" s="103"/>
      <c r="Y48" s="103"/>
      <c r="Z48" s="103"/>
      <c r="AA48" s="103"/>
      <c r="AB48" s="103"/>
    </row>
    <row r="49" spans="1:28" ht="22.35" customHeight="1" x14ac:dyDescent="0.2">
      <c r="A49" s="74">
        <v>36</v>
      </c>
      <c r="B49" s="42">
        <v>2.0874999999999999</v>
      </c>
      <c r="C49" s="42">
        <v>-2E-3</v>
      </c>
      <c r="D49" s="42">
        <v>2E-3</v>
      </c>
      <c r="E49" s="38" t="s">
        <v>29</v>
      </c>
      <c r="F49" s="57">
        <v>2.089</v>
      </c>
      <c r="G49" s="57"/>
      <c r="H49" s="57"/>
      <c r="I49" s="57"/>
      <c r="J49" s="57"/>
      <c r="K49" s="57"/>
      <c r="L49" s="57"/>
      <c r="M49" s="57"/>
      <c r="N49" s="57"/>
      <c r="O49" s="57"/>
      <c r="P49" s="75" t="str">
        <f t="shared" si="0"/>
        <v>OK</v>
      </c>
      <c r="S49" s="103"/>
      <c r="T49" s="103"/>
      <c r="U49" s="103"/>
      <c r="V49" s="103"/>
      <c r="W49" s="103"/>
      <c r="X49" s="103"/>
      <c r="Y49" s="103"/>
      <c r="Z49" s="103"/>
      <c r="AA49" s="103"/>
      <c r="AB49" s="103"/>
    </row>
    <row r="50" spans="1:28" ht="22.35" customHeight="1" x14ac:dyDescent="0.2">
      <c r="A50" s="74">
        <v>37</v>
      </c>
      <c r="B50" s="42">
        <v>2.5874999999999999</v>
      </c>
      <c r="C50" s="42">
        <v>-2E-3</v>
      </c>
      <c r="D50" s="42">
        <v>2E-3</v>
      </c>
      <c r="E50" s="38" t="s">
        <v>29</v>
      </c>
      <c r="F50" s="57">
        <v>2.5891999999999999</v>
      </c>
      <c r="G50" s="57"/>
      <c r="H50" s="57"/>
      <c r="I50" s="57"/>
      <c r="J50" s="57"/>
      <c r="K50" s="57"/>
      <c r="L50" s="57"/>
      <c r="M50" s="57"/>
      <c r="N50" s="57"/>
      <c r="O50" s="57"/>
      <c r="P50" s="75" t="str">
        <f t="shared" si="0"/>
        <v>OK</v>
      </c>
      <c r="S50" s="103"/>
      <c r="T50" s="103"/>
      <c r="U50" s="103"/>
      <c r="V50" s="103"/>
      <c r="W50" s="103"/>
      <c r="X50" s="103"/>
      <c r="Y50" s="103"/>
      <c r="Z50" s="103"/>
      <c r="AA50" s="103"/>
      <c r="AB50" s="103"/>
    </row>
    <row r="51" spans="1:28" ht="22.35" customHeight="1" x14ac:dyDescent="0.2">
      <c r="A51" s="74">
        <v>38</v>
      </c>
      <c r="B51" s="42">
        <v>3.0874999999999999</v>
      </c>
      <c r="C51" s="42">
        <v>-2E-3</v>
      </c>
      <c r="D51" s="42">
        <v>2E-3</v>
      </c>
      <c r="E51" s="38" t="s">
        <v>29</v>
      </c>
      <c r="F51" s="57">
        <v>3.0893999999999999</v>
      </c>
      <c r="G51" s="57"/>
      <c r="H51" s="57"/>
      <c r="I51" s="57"/>
      <c r="J51" s="57"/>
      <c r="K51" s="57"/>
      <c r="L51" s="57"/>
      <c r="M51" s="57"/>
      <c r="N51" s="57"/>
      <c r="O51" s="57"/>
      <c r="P51" s="75" t="str">
        <f t="shared" si="0"/>
        <v>OK</v>
      </c>
      <c r="S51" s="103"/>
      <c r="T51" s="103"/>
      <c r="U51" s="103"/>
      <c r="V51" s="103"/>
      <c r="W51" s="103"/>
      <c r="X51" s="103"/>
      <c r="Y51" s="103"/>
      <c r="Z51" s="103"/>
      <c r="AA51" s="103"/>
      <c r="AB51" s="103"/>
    </row>
    <row r="52" spans="1:28" ht="22.35" customHeight="1" x14ac:dyDescent="0.2">
      <c r="A52" s="74">
        <v>39</v>
      </c>
      <c r="B52" s="42">
        <v>3.5874999999999999</v>
      </c>
      <c r="C52" s="42">
        <v>-2E-3</v>
      </c>
      <c r="D52" s="42">
        <v>2E-3</v>
      </c>
      <c r="E52" s="38" t="s">
        <v>29</v>
      </c>
      <c r="F52" s="57">
        <v>3.5884</v>
      </c>
      <c r="G52" s="57"/>
      <c r="H52" s="57"/>
      <c r="I52" s="57"/>
      <c r="J52" s="57"/>
      <c r="K52" s="57"/>
      <c r="L52" s="57"/>
      <c r="M52" s="57"/>
      <c r="N52" s="57"/>
      <c r="O52" s="57"/>
      <c r="P52" s="75" t="str">
        <f t="shared" si="0"/>
        <v>OK</v>
      </c>
      <c r="S52" s="103"/>
      <c r="T52" s="103"/>
      <c r="U52" s="103"/>
      <c r="V52" s="103"/>
      <c r="W52" s="103"/>
      <c r="X52" s="103"/>
      <c r="Y52" s="103"/>
      <c r="Z52" s="103"/>
      <c r="AA52" s="103"/>
      <c r="AB52" s="103"/>
    </row>
    <row r="53" spans="1:28" ht="22.35" customHeight="1" x14ac:dyDescent="0.2">
      <c r="A53" s="74">
        <v>40</v>
      </c>
      <c r="B53" s="42">
        <v>4.0875000000000004</v>
      </c>
      <c r="C53" s="42">
        <v>-2E-3</v>
      </c>
      <c r="D53" s="42">
        <v>2E-3</v>
      </c>
      <c r="E53" s="38" t="s">
        <v>29</v>
      </c>
      <c r="F53" s="57">
        <v>4.0883000000000003</v>
      </c>
      <c r="G53" s="57"/>
      <c r="H53" s="57"/>
      <c r="I53" s="57"/>
      <c r="J53" s="57"/>
      <c r="K53" s="57"/>
      <c r="L53" s="57"/>
      <c r="M53" s="57"/>
      <c r="N53" s="57"/>
      <c r="O53" s="57"/>
      <c r="P53" s="75" t="str">
        <f t="shared" si="0"/>
        <v>OK</v>
      </c>
      <c r="S53" s="103"/>
      <c r="T53" s="103"/>
      <c r="U53" s="103"/>
      <c r="V53" s="103"/>
      <c r="W53" s="103"/>
      <c r="X53" s="103"/>
      <c r="Y53" s="103"/>
      <c r="Z53" s="103"/>
      <c r="AA53" s="103"/>
      <c r="AB53" s="103"/>
    </row>
    <row r="54" spans="1:28" ht="27.6" customHeight="1" x14ac:dyDescent="0.2">
      <c r="A54" s="76" t="s">
        <v>30</v>
      </c>
      <c r="B54" s="55"/>
      <c r="C54" s="40"/>
      <c r="D54" s="40"/>
      <c r="E54" s="40"/>
      <c r="F54" s="57" t="s">
        <v>28</v>
      </c>
      <c r="G54" s="57" t="s">
        <v>28</v>
      </c>
      <c r="H54" s="57"/>
      <c r="I54" s="57"/>
      <c r="J54" s="57"/>
      <c r="K54" s="57"/>
      <c r="L54" s="57"/>
      <c r="M54" s="57"/>
      <c r="N54" s="57"/>
      <c r="O54" s="57"/>
      <c r="P54" s="75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</row>
    <row r="55" spans="1:28" ht="18.600000000000001" customHeight="1" x14ac:dyDescent="0.2">
      <c r="A55" s="94" t="s">
        <v>31</v>
      </c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6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</row>
    <row r="56" spans="1:28" x14ac:dyDescent="0.2">
      <c r="A56" s="77" t="s">
        <v>32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78"/>
    </row>
    <row r="57" spans="1:28" x14ac:dyDescent="0.2">
      <c r="A57" s="77" t="s">
        <v>33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78"/>
    </row>
    <row r="58" spans="1:28" ht="48.4" customHeight="1" thickBot="1" x14ac:dyDescent="0.4">
      <c r="A58" s="79"/>
      <c r="B58" s="52"/>
      <c r="C58" s="49">
        <v>7139</v>
      </c>
      <c r="D58" s="53"/>
      <c r="E58" s="44"/>
      <c r="F58" s="86" t="s">
        <v>34</v>
      </c>
      <c r="G58" s="86"/>
      <c r="H58" s="49"/>
      <c r="I58" s="49"/>
      <c r="J58" s="50"/>
      <c r="K58" s="51"/>
      <c r="L58" s="86" t="s">
        <v>35</v>
      </c>
      <c r="M58" s="86"/>
      <c r="N58" s="49"/>
      <c r="O58" s="49"/>
      <c r="P58" s="80"/>
    </row>
    <row r="59" spans="1:28" ht="15" thickBot="1" x14ac:dyDescent="0.25">
      <c r="A59" s="81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3"/>
    </row>
  </sheetData>
  <mergeCells count="21">
    <mergeCell ref="A1:P1"/>
    <mergeCell ref="A2:P2"/>
    <mergeCell ref="S3:AB55"/>
    <mergeCell ref="A5:B5"/>
    <mergeCell ref="D5:F5"/>
    <mergeCell ref="K5:M5"/>
    <mergeCell ref="A6:B6"/>
    <mergeCell ref="K6:M6"/>
    <mergeCell ref="A11:E11"/>
    <mergeCell ref="P8:P9"/>
    <mergeCell ref="N4:O4"/>
    <mergeCell ref="N5:O5"/>
    <mergeCell ref="L4:M4"/>
    <mergeCell ref="F58:G58"/>
    <mergeCell ref="L58:M58"/>
    <mergeCell ref="F11:O11"/>
    <mergeCell ref="A12:A13"/>
    <mergeCell ref="B12:B13"/>
    <mergeCell ref="C12:D12"/>
    <mergeCell ref="F13:O13"/>
    <mergeCell ref="A55:P55"/>
  </mergeCells>
  <conditionalFormatting sqref="P8:P9">
    <cfRule type="containsText" dxfId="5" priority="1" operator="containsText" text="PASSED">
      <formula>NOT(ISERROR(SEARCH("PASSED",P8)))</formula>
    </cfRule>
    <cfRule type="containsText" dxfId="4" priority="2" operator="containsText" text="REJECTED">
      <formula>NOT(ISERROR(SEARCH("REJECTED",P8)))</formula>
    </cfRule>
  </conditionalFormatting>
  <conditionalFormatting sqref="P14:P53">
    <cfRule type="containsText" dxfId="3" priority="3" operator="containsText" text="NG">
      <formula>NOT(ISERROR(SEARCH("NG",P14)))</formula>
    </cfRule>
  </conditionalFormatting>
  <printOptions horizontalCentered="1" verticalCentered="1"/>
  <pageMargins left="0" right="0" top="0" bottom="0" header="0" footer="0"/>
  <pageSetup paperSize="9" scale="5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0F8B-6B04-402A-B0CF-685E3911D20C}">
  <sheetPr codeName="Sheet2">
    <pageSetUpPr fitToPage="1"/>
  </sheetPr>
  <dimension ref="A1:AB59"/>
  <sheetViews>
    <sheetView view="pageBreakPreview" zoomScale="85" zoomScaleNormal="100" zoomScaleSheetLayoutView="85" workbookViewId="0">
      <selection activeCell="C15" sqref="C15"/>
    </sheetView>
  </sheetViews>
  <sheetFormatPr defaultColWidth="9" defaultRowHeight="14.25" x14ac:dyDescent="0.2"/>
  <cols>
    <col min="1" max="1" width="12.7109375" style="1" customWidth="1"/>
    <col min="2" max="2" width="11.42578125" style="1" customWidth="1"/>
    <col min="3" max="3" width="12.28515625" style="1" customWidth="1"/>
    <col min="4" max="4" width="10.28515625" style="1" customWidth="1"/>
    <col min="5" max="5" width="7.140625" style="1" customWidth="1"/>
    <col min="6" max="6" width="10.28515625" style="1" customWidth="1"/>
    <col min="7" max="13" width="10.7109375" style="1" customWidth="1"/>
    <col min="14" max="14" width="14.42578125" style="1" bestFit="1" customWidth="1"/>
    <col min="15" max="15" width="10.7109375" style="1" customWidth="1"/>
    <col min="16" max="16" width="18.28515625" style="1" customWidth="1"/>
    <col min="17" max="18" width="9" style="1" customWidth="1"/>
    <col min="19" max="19" width="16.42578125" style="1" customWidth="1"/>
    <col min="20" max="20" width="9" style="1" customWidth="1"/>
    <col min="21" max="16384" width="9" style="1"/>
  </cols>
  <sheetData>
    <row r="1" spans="1:28" ht="32.450000000000003" customHeight="1" x14ac:dyDescent="0.3">
      <c r="A1" s="115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7"/>
    </row>
    <row r="2" spans="1:28" ht="34.9" customHeight="1" x14ac:dyDescent="0.2">
      <c r="A2" s="118" t="s">
        <v>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19"/>
    </row>
    <row r="3" spans="1:28" ht="24" customHeight="1" x14ac:dyDescent="0.2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5"/>
      <c r="O3" s="3"/>
      <c r="P3" s="4"/>
      <c r="S3" s="103"/>
      <c r="T3" s="103"/>
      <c r="U3" s="103"/>
      <c r="V3" s="103"/>
      <c r="W3" s="103"/>
      <c r="X3" s="103"/>
      <c r="Y3" s="103"/>
      <c r="Z3" s="103"/>
      <c r="AA3" s="103"/>
      <c r="AB3" s="103"/>
    </row>
    <row r="4" spans="1:28" ht="24" customHeight="1" x14ac:dyDescent="0.2">
      <c r="A4" s="2"/>
      <c r="B4" s="3"/>
      <c r="C4" s="3"/>
      <c r="D4" s="3"/>
      <c r="E4" s="3"/>
      <c r="F4" s="3"/>
      <c r="G4" s="3"/>
      <c r="H4" s="3"/>
      <c r="I4" s="3"/>
      <c r="J4" s="3"/>
      <c r="K4" s="105" t="s">
        <v>2</v>
      </c>
      <c r="L4" s="105"/>
      <c r="M4" s="105"/>
      <c r="N4" s="11" t="str">
        <f>'Inspection 1-40 (2)'!N4:O4</f>
        <v>12-MAR-2026</v>
      </c>
      <c r="O4" s="12"/>
      <c r="P4" s="4"/>
      <c r="S4" s="103"/>
      <c r="T4" s="103"/>
      <c r="U4" s="103"/>
      <c r="V4" s="103"/>
      <c r="W4" s="103"/>
      <c r="X4" s="103"/>
      <c r="Y4" s="103"/>
      <c r="Z4" s="103"/>
      <c r="AA4" s="103"/>
      <c r="AB4" s="103"/>
    </row>
    <row r="5" spans="1:28" ht="19.899999999999999" customHeight="1" x14ac:dyDescent="0.2">
      <c r="A5" s="120" t="s">
        <v>4</v>
      </c>
      <c r="B5" s="105"/>
      <c r="C5" s="7" t="str">
        <f>'Inspection 1-40 (2)'!C5</f>
        <v>106C</v>
      </c>
      <c r="D5" s="106" t="s">
        <v>6</v>
      </c>
      <c r="E5" s="106"/>
      <c r="F5" s="106"/>
      <c r="G5" s="9" t="str">
        <f>'Inspection 1-40 (2)'!G5</f>
        <v>MF00307</v>
      </c>
      <c r="H5" s="9"/>
      <c r="I5" s="10"/>
      <c r="J5" s="6"/>
      <c r="K5" s="105" t="s">
        <v>8</v>
      </c>
      <c r="L5" s="105"/>
      <c r="M5" s="105"/>
      <c r="N5" s="11" t="s">
        <v>9</v>
      </c>
      <c r="O5" s="12"/>
      <c r="P5" s="13"/>
      <c r="S5" s="103"/>
      <c r="T5" s="103"/>
      <c r="U5" s="103"/>
      <c r="V5" s="103"/>
      <c r="W5" s="103"/>
      <c r="X5" s="103"/>
      <c r="Y5" s="103"/>
      <c r="Z5" s="103"/>
      <c r="AA5" s="103"/>
      <c r="AB5" s="103"/>
    </row>
    <row r="6" spans="1:28" ht="19.899999999999999" customHeight="1" x14ac:dyDescent="0.2">
      <c r="A6" s="120" t="s">
        <v>10</v>
      </c>
      <c r="B6" s="105"/>
      <c r="C6" s="7" t="str">
        <f>'Inspection 1-40 (2)'!C6</f>
        <v>HPM31</v>
      </c>
      <c r="D6" s="6"/>
      <c r="E6" s="6"/>
      <c r="F6" s="8" t="s">
        <v>12</v>
      </c>
      <c r="G6" s="9" t="str">
        <f>'Inspection 1-40 (2)'!G6</f>
        <v>56-58</v>
      </c>
      <c r="H6" s="16"/>
      <c r="I6" s="6"/>
      <c r="J6" s="6"/>
      <c r="K6" s="105" t="s">
        <v>14</v>
      </c>
      <c r="L6" s="105"/>
      <c r="M6" s="105"/>
      <c r="N6" s="16">
        <f>'Inspection 1-40 (2)'!N6</f>
        <v>2</v>
      </c>
      <c r="O6" s="17"/>
      <c r="P6" s="13"/>
      <c r="S6" s="103"/>
      <c r="T6" s="103"/>
      <c r="U6" s="103"/>
      <c r="V6" s="103"/>
      <c r="W6" s="103"/>
      <c r="X6" s="103"/>
      <c r="Y6" s="103"/>
      <c r="Z6" s="103"/>
      <c r="AA6" s="103"/>
      <c r="AB6" s="103"/>
    </row>
    <row r="7" spans="1:28" ht="19.899999999999999" customHeight="1" x14ac:dyDescent="0.2">
      <c r="A7" s="18"/>
      <c r="B7" s="19"/>
      <c r="C7" s="20"/>
      <c r="D7" s="21"/>
      <c r="E7" s="21"/>
      <c r="F7" s="22"/>
      <c r="G7" s="23"/>
      <c r="H7" s="21"/>
      <c r="I7" s="21"/>
      <c r="J7" s="21"/>
      <c r="K7" s="24"/>
      <c r="L7" s="24"/>
      <c r="M7" s="24"/>
      <c r="N7" s="24"/>
      <c r="O7" s="25"/>
      <c r="P7" s="67" t="s">
        <v>36</v>
      </c>
      <c r="S7" s="103"/>
      <c r="T7" s="103"/>
      <c r="U7" s="103"/>
      <c r="V7" s="103"/>
      <c r="W7" s="103"/>
      <c r="X7" s="103"/>
      <c r="Y7" s="103"/>
      <c r="Z7" s="103"/>
      <c r="AA7" s="103"/>
      <c r="AB7" s="103"/>
    </row>
    <row r="8" spans="1:28" x14ac:dyDescent="0.2">
      <c r="A8" s="26" t="s">
        <v>15</v>
      </c>
      <c r="B8" s="27"/>
      <c r="C8" s="28"/>
      <c r="D8" s="27"/>
      <c r="E8" s="28"/>
      <c r="F8" s="27"/>
      <c r="G8" s="28"/>
      <c r="H8" s="27"/>
      <c r="I8" s="28"/>
      <c r="J8" s="27"/>
      <c r="K8" s="28"/>
      <c r="L8" s="27"/>
      <c r="M8" s="29"/>
      <c r="N8" s="21"/>
      <c r="O8" s="21"/>
      <c r="P8" s="108" t="str">
        <f>IF(COUNTIF(P14:P60, "NG")&gt;0, "REJECTED", IF(COUNTIF(P14:P60, "OK")&gt;0, "PASSED", ""))</f>
        <v>PASSED</v>
      </c>
      <c r="Q8" s="21"/>
      <c r="R8" s="30"/>
      <c r="S8" s="103"/>
      <c r="T8" s="103"/>
      <c r="U8" s="103"/>
      <c r="V8" s="103"/>
      <c r="W8" s="103"/>
      <c r="X8" s="103"/>
      <c r="Y8" s="103"/>
      <c r="Z8" s="103"/>
      <c r="AA8" s="103"/>
      <c r="AB8" s="103"/>
    </row>
    <row r="9" spans="1:28" x14ac:dyDescent="0.2">
      <c r="A9" s="28" t="s">
        <v>16</v>
      </c>
      <c r="B9" s="27"/>
      <c r="C9" s="28"/>
      <c r="D9" s="27"/>
      <c r="E9" s="28"/>
      <c r="F9" s="27"/>
      <c r="G9" s="27"/>
      <c r="I9" s="28"/>
      <c r="J9" s="27"/>
      <c r="K9" s="28"/>
      <c r="L9" s="27"/>
      <c r="M9" s="29"/>
      <c r="N9" s="21"/>
      <c r="O9" s="21"/>
      <c r="P9" s="109"/>
      <c r="Q9" s="21"/>
      <c r="R9" s="30"/>
      <c r="S9" s="103"/>
      <c r="T9" s="103"/>
      <c r="U9" s="103"/>
      <c r="V9" s="103"/>
      <c r="W9" s="103"/>
      <c r="X9" s="103"/>
      <c r="Y9" s="103"/>
      <c r="Z9" s="103"/>
      <c r="AA9" s="103"/>
      <c r="AB9" s="103"/>
    </row>
    <row r="10" spans="1:28" x14ac:dyDescent="0.2">
      <c r="A10" s="31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3"/>
      <c r="Q10" s="21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</row>
    <row r="11" spans="1:28" ht="20.45" customHeight="1" x14ac:dyDescent="0.2">
      <c r="A11" s="91" t="s">
        <v>17</v>
      </c>
      <c r="B11" s="91"/>
      <c r="C11" s="87"/>
      <c r="D11" s="87"/>
      <c r="E11" s="91"/>
      <c r="F11" s="87" t="s">
        <v>18</v>
      </c>
      <c r="G11" s="87"/>
      <c r="H11" s="87"/>
      <c r="I11" s="87"/>
      <c r="J11" s="87"/>
      <c r="K11" s="87"/>
      <c r="L11" s="87"/>
      <c r="M11" s="87"/>
      <c r="N11" s="87"/>
      <c r="O11" s="88"/>
      <c r="P11" s="34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</row>
    <row r="12" spans="1:28" ht="15" x14ac:dyDescent="0.2">
      <c r="A12" s="113" t="s">
        <v>19</v>
      </c>
      <c r="B12" s="91" t="s">
        <v>20</v>
      </c>
      <c r="C12" s="93" t="s">
        <v>21</v>
      </c>
      <c r="D12" s="88"/>
      <c r="E12" s="35" t="s">
        <v>22</v>
      </c>
      <c r="F12" s="85">
        <f>'Inspection 1-40 (2)'!F12</f>
        <v>1</v>
      </c>
      <c r="G12" s="85">
        <f>'Inspection 1-40 (2)'!G12</f>
        <v>2</v>
      </c>
      <c r="H12" s="85">
        <f>'Inspection 1-40 (2)'!H12</f>
        <v>3</v>
      </c>
      <c r="I12" s="85">
        <f>'Inspection 1-40 (2)'!I12</f>
        <v>4</v>
      </c>
      <c r="J12" s="85">
        <f>'Inspection 1-40 (2)'!J12</f>
        <v>5</v>
      </c>
      <c r="K12" s="85">
        <f>'Inspection 1-40 (2)'!K12</f>
        <v>6</v>
      </c>
      <c r="L12" s="85">
        <f>'Inspection 1-40 (2)'!L12</f>
        <v>7</v>
      </c>
      <c r="M12" s="85">
        <f>'Inspection 1-40 (2)'!M12</f>
        <v>8</v>
      </c>
      <c r="N12" s="85">
        <f>'Inspection 1-40 (2)'!N12</f>
        <v>9</v>
      </c>
      <c r="O12" s="85">
        <f>'Inspection 1-40 (2)'!O12</f>
        <v>10</v>
      </c>
      <c r="P12" s="35" t="s">
        <v>24</v>
      </c>
      <c r="S12" s="103"/>
      <c r="T12" s="103"/>
      <c r="U12" s="103"/>
      <c r="V12" s="103"/>
      <c r="W12" s="103"/>
      <c r="X12" s="103"/>
      <c r="Y12" s="103"/>
      <c r="Z12" s="103"/>
      <c r="AA12" s="103"/>
      <c r="AB12" s="103"/>
    </row>
    <row r="13" spans="1:28" ht="15" x14ac:dyDescent="0.2">
      <c r="A13" s="114"/>
      <c r="B13" s="92"/>
      <c r="C13" s="48" t="s">
        <v>25</v>
      </c>
      <c r="D13" s="36" t="s">
        <v>26</v>
      </c>
      <c r="E13" s="41"/>
      <c r="F13" s="93" t="s">
        <v>27</v>
      </c>
      <c r="G13" s="87"/>
      <c r="H13" s="87"/>
      <c r="I13" s="87"/>
      <c r="J13" s="87"/>
      <c r="K13" s="87"/>
      <c r="L13" s="87"/>
      <c r="M13" s="87"/>
      <c r="N13" s="87"/>
      <c r="O13" s="88"/>
      <c r="P13" s="41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</row>
    <row r="14" spans="1:28" ht="22.35" customHeight="1" x14ac:dyDescent="0.2">
      <c r="A14" s="42">
        <v>41</v>
      </c>
      <c r="B14" s="60">
        <v>4.5875000000000004</v>
      </c>
      <c r="C14" s="61">
        <v>-2E-3</v>
      </c>
      <c r="D14" s="61">
        <v>2E-3</v>
      </c>
      <c r="E14" s="59" t="s">
        <v>29</v>
      </c>
      <c r="F14" s="57">
        <v>4.5892999999999997</v>
      </c>
      <c r="G14" s="57">
        <v>4.5894000000000004</v>
      </c>
      <c r="H14" s="38" t="s">
        <v>23</v>
      </c>
      <c r="I14" s="38" t="s">
        <v>23</v>
      </c>
      <c r="J14" s="38" t="s">
        <v>23</v>
      </c>
      <c r="K14" s="38" t="s">
        <v>23</v>
      </c>
      <c r="L14" s="38" t="s">
        <v>23</v>
      </c>
      <c r="M14" s="38" t="s">
        <v>23</v>
      </c>
      <c r="N14" s="38" t="s">
        <v>23</v>
      </c>
      <c r="O14" s="38" t="s">
        <v>23</v>
      </c>
      <c r="P14" s="37" t="str">
        <f>IF(COUNT(F14:O14)=0, "", IF(OR(MIN(F14:O14) &lt; (B14+C14), MAX(F14:O14) &gt; (B14+D14)), "NG", "OK"))</f>
        <v>OK</v>
      </c>
      <c r="S14" s="103"/>
      <c r="T14" s="103"/>
      <c r="U14" s="103"/>
      <c r="V14" s="103"/>
      <c r="W14" s="103"/>
      <c r="X14" s="103"/>
      <c r="Y14" s="103"/>
      <c r="Z14" s="103"/>
      <c r="AA14" s="103"/>
      <c r="AB14" s="103"/>
    </row>
    <row r="15" spans="1:28" ht="22.35" customHeight="1" x14ac:dyDescent="0.2">
      <c r="A15" s="42">
        <v>42</v>
      </c>
      <c r="B15" s="61">
        <v>5</v>
      </c>
      <c r="C15" s="61">
        <v>-0.1</v>
      </c>
      <c r="D15" s="61">
        <v>0.1</v>
      </c>
      <c r="E15" s="59" t="s">
        <v>29</v>
      </c>
      <c r="F15" s="57">
        <v>5.0999999999999996</v>
      </c>
      <c r="G15" s="57"/>
      <c r="H15" s="57"/>
      <c r="I15" s="57"/>
      <c r="J15" s="57"/>
      <c r="K15" s="57"/>
      <c r="L15" s="57"/>
      <c r="M15" s="57"/>
      <c r="N15" s="57"/>
      <c r="O15" s="57"/>
      <c r="P15" s="37" t="str">
        <f t="shared" ref="P15:P53" si="0">IF(COUNT(F15:O15)=0, "", IF(OR(MIN(F15:O15) &lt; (B15+C15), MAX(F15:O15) &gt; (B15+D15)), "NG", "OK"))</f>
        <v>OK</v>
      </c>
      <c r="S15" s="103"/>
      <c r="T15" s="103"/>
      <c r="U15" s="103"/>
      <c r="V15" s="103"/>
      <c r="W15" s="103"/>
      <c r="X15" s="103"/>
      <c r="Y15" s="103"/>
      <c r="Z15" s="103"/>
      <c r="AA15" s="103"/>
      <c r="AB15" s="103"/>
    </row>
    <row r="16" spans="1:28" ht="22.35" customHeight="1" x14ac:dyDescent="0.2">
      <c r="A16" s="42"/>
      <c r="B16" s="56"/>
      <c r="C16" s="54"/>
      <c r="D16" s="54"/>
      <c r="E16" s="38"/>
      <c r="F16" s="38"/>
      <c r="G16" s="57"/>
      <c r="H16" s="57"/>
      <c r="I16" s="57"/>
      <c r="J16" s="57"/>
      <c r="K16" s="57"/>
      <c r="L16" s="57"/>
      <c r="M16" s="57"/>
      <c r="N16" s="57"/>
      <c r="O16" s="57"/>
      <c r="P16" s="37" t="str">
        <f t="shared" si="0"/>
        <v/>
      </c>
      <c r="S16" s="103"/>
      <c r="T16" s="103"/>
      <c r="U16" s="103"/>
      <c r="V16" s="103"/>
      <c r="W16" s="103"/>
      <c r="X16" s="103"/>
      <c r="Y16" s="103"/>
      <c r="Z16" s="103"/>
      <c r="AA16" s="103"/>
      <c r="AB16" s="103"/>
    </row>
    <row r="17" spans="1:28" ht="22.35" customHeight="1" x14ac:dyDescent="0.2">
      <c r="A17" s="42"/>
      <c r="B17" s="54"/>
      <c r="C17" s="54"/>
      <c r="D17" s="54"/>
      <c r="E17" s="38"/>
      <c r="F17" s="38"/>
      <c r="G17" s="57"/>
      <c r="H17" s="57"/>
      <c r="I17" s="57"/>
      <c r="J17" s="57"/>
      <c r="K17" s="57"/>
      <c r="L17" s="57"/>
      <c r="M17" s="57"/>
      <c r="N17" s="57"/>
      <c r="O17" s="57"/>
      <c r="P17" s="37" t="str">
        <f t="shared" si="0"/>
        <v/>
      </c>
      <c r="S17" s="103"/>
      <c r="T17" s="103"/>
      <c r="U17" s="103"/>
      <c r="V17" s="103"/>
      <c r="W17" s="103"/>
      <c r="X17" s="103"/>
      <c r="Y17" s="103"/>
      <c r="Z17" s="103"/>
      <c r="AA17" s="103"/>
      <c r="AB17" s="103"/>
    </row>
    <row r="18" spans="1:28" ht="22.35" customHeight="1" x14ac:dyDescent="0.2">
      <c r="A18" s="42"/>
      <c r="B18" s="54"/>
      <c r="C18" s="54"/>
      <c r="D18" s="54"/>
      <c r="E18" s="38"/>
      <c r="F18" s="38"/>
      <c r="G18" s="57"/>
      <c r="H18" s="57"/>
      <c r="I18" s="57"/>
      <c r="J18" s="57"/>
      <c r="K18" s="57"/>
      <c r="L18" s="57"/>
      <c r="M18" s="57"/>
      <c r="N18" s="57"/>
      <c r="O18" s="57"/>
      <c r="P18" s="37" t="str">
        <f t="shared" si="0"/>
        <v/>
      </c>
      <c r="S18" s="103"/>
      <c r="T18" s="103"/>
      <c r="U18" s="103"/>
      <c r="V18" s="103"/>
      <c r="W18" s="103"/>
      <c r="X18" s="103"/>
      <c r="Y18" s="103"/>
      <c r="Z18" s="103"/>
      <c r="AA18" s="103"/>
      <c r="AB18" s="103"/>
    </row>
    <row r="19" spans="1:28" ht="22.35" customHeight="1" x14ac:dyDescent="0.2">
      <c r="A19" s="42"/>
      <c r="B19" s="54"/>
      <c r="C19" s="54"/>
      <c r="D19" s="54"/>
      <c r="E19" s="38"/>
      <c r="F19" s="38"/>
      <c r="G19" s="57"/>
      <c r="H19" s="57"/>
      <c r="I19" s="57"/>
      <c r="J19" s="57"/>
      <c r="K19" s="57"/>
      <c r="L19" s="57"/>
      <c r="M19" s="57"/>
      <c r="N19" s="57"/>
      <c r="O19" s="57"/>
      <c r="P19" s="37" t="str">
        <f t="shared" si="0"/>
        <v/>
      </c>
      <c r="S19" s="103"/>
      <c r="T19" s="103"/>
      <c r="U19" s="103"/>
      <c r="V19" s="103"/>
      <c r="W19" s="103"/>
      <c r="X19" s="103"/>
      <c r="Y19" s="103"/>
      <c r="Z19" s="103"/>
      <c r="AA19" s="103"/>
      <c r="AB19" s="103"/>
    </row>
    <row r="20" spans="1:28" ht="22.35" customHeight="1" x14ac:dyDescent="0.2">
      <c r="A20" s="42"/>
      <c r="B20" s="54"/>
      <c r="C20" s="54"/>
      <c r="D20" s="54"/>
      <c r="E20" s="38"/>
      <c r="F20" s="38"/>
      <c r="G20" s="57"/>
      <c r="H20" s="57"/>
      <c r="I20" s="57"/>
      <c r="J20" s="57"/>
      <c r="K20" s="57"/>
      <c r="L20" s="57"/>
      <c r="M20" s="57"/>
      <c r="N20" s="57"/>
      <c r="O20" s="57"/>
      <c r="P20" s="37" t="str">
        <f t="shared" si="0"/>
        <v/>
      </c>
      <c r="S20" s="103"/>
      <c r="T20" s="103"/>
      <c r="U20" s="103"/>
      <c r="V20" s="103"/>
      <c r="W20" s="103"/>
      <c r="X20" s="103"/>
      <c r="Y20" s="103"/>
      <c r="Z20" s="103"/>
      <c r="AA20" s="103"/>
      <c r="AB20" s="103"/>
    </row>
    <row r="21" spans="1:28" ht="22.35" customHeight="1" x14ac:dyDescent="0.2">
      <c r="A21" s="42"/>
      <c r="B21" s="54"/>
      <c r="C21" s="54"/>
      <c r="D21" s="54"/>
      <c r="E21" s="38"/>
      <c r="F21" s="38"/>
      <c r="G21" s="57"/>
      <c r="H21" s="57"/>
      <c r="I21" s="57"/>
      <c r="J21" s="57"/>
      <c r="K21" s="57"/>
      <c r="L21" s="57"/>
      <c r="M21" s="57"/>
      <c r="N21" s="57"/>
      <c r="O21" s="57"/>
      <c r="P21" s="37" t="str">
        <f t="shared" si="0"/>
        <v/>
      </c>
      <c r="S21" s="103"/>
      <c r="T21" s="103"/>
      <c r="U21" s="103"/>
      <c r="V21" s="103"/>
      <c r="W21" s="103"/>
      <c r="X21" s="103"/>
      <c r="Y21" s="103"/>
      <c r="Z21" s="103"/>
      <c r="AA21" s="103"/>
      <c r="AB21" s="103"/>
    </row>
    <row r="22" spans="1:28" ht="22.35" customHeight="1" x14ac:dyDescent="0.2">
      <c r="A22" s="42"/>
      <c r="B22" s="54"/>
      <c r="C22" s="54"/>
      <c r="D22" s="54"/>
      <c r="E22" s="38"/>
      <c r="F22" s="38"/>
      <c r="G22" s="57"/>
      <c r="H22" s="57"/>
      <c r="I22" s="57"/>
      <c r="J22" s="57"/>
      <c r="K22" s="57"/>
      <c r="L22" s="57"/>
      <c r="M22" s="57"/>
      <c r="N22" s="57"/>
      <c r="O22" s="57"/>
      <c r="P22" s="37" t="str">
        <f t="shared" si="0"/>
        <v/>
      </c>
      <c r="S22" s="103"/>
      <c r="T22" s="103"/>
      <c r="U22" s="103"/>
      <c r="V22" s="103"/>
      <c r="W22" s="103"/>
      <c r="X22" s="103"/>
      <c r="Y22" s="103"/>
      <c r="Z22" s="103"/>
      <c r="AA22" s="103"/>
      <c r="AB22" s="103"/>
    </row>
    <row r="23" spans="1:28" ht="22.35" customHeight="1" x14ac:dyDescent="0.2">
      <c r="A23" s="42"/>
      <c r="B23" s="54"/>
      <c r="C23" s="54"/>
      <c r="D23" s="54"/>
      <c r="E23" s="38"/>
      <c r="F23" s="38"/>
      <c r="G23" s="57"/>
      <c r="H23" s="57"/>
      <c r="I23" s="57"/>
      <c r="J23" s="57"/>
      <c r="K23" s="57"/>
      <c r="L23" s="57"/>
      <c r="M23" s="57"/>
      <c r="N23" s="57"/>
      <c r="O23" s="57"/>
      <c r="P23" s="37" t="str">
        <f t="shared" si="0"/>
        <v/>
      </c>
      <c r="S23" s="103"/>
      <c r="T23" s="103"/>
      <c r="U23" s="103"/>
      <c r="V23" s="103"/>
      <c r="W23" s="103"/>
      <c r="X23" s="103"/>
      <c r="Y23" s="103"/>
      <c r="Z23" s="103"/>
      <c r="AA23" s="103"/>
      <c r="AB23" s="103"/>
    </row>
    <row r="24" spans="1:28" ht="22.35" customHeight="1" x14ac:dyDescent="0.2">
      <c r="A24" s="42"/>
      <c r="B24" s="56"/>
      <c r="C24" s="54"/>
      <c r="D24" s="54"/>
      <c r="E24" s="38"/>
      <c r="F24" s="38"/>
      <c r="G24" s="57"/>
      <c r="H24" s="57"/>
      <c r="I24" s="57"/>
      <c r="J24" s="57"/>
      <c r="K24" s="57"/>
      <c r="L24" s="57"/>
      <c r="M24" s="57"/>
      <c r="N24" s="57"/>
      <c r="O24" s="57"/>
      <c r="P24" s="37" t="str">
        <f t="shared" si="0"/>
        <v/>
      </c>
      <c r="S24" s="103"/>
      <c r="T24" s="103"/>
      <c r="U24" s="103"/>
      <c r="V24" s="103"/>
      <c r="W24" s="103"/>
      <c r="X24" s="103"/>
      <c r="Y24" s="103"/>
      <c r="Z24" s="103"/>
      <c r="AA24" s="103"/>
      <c r="AB24" s="103"/>
    </row>
    <row r="25" spans="1:28" ht="22.35" customHeight="1" x14ac:dyDescent="0.2">
      <c r="A25" s="42"/>
      <c r="B25" s="56"/>
      <c r="C25" s="54"/>
      <c r="D25" s="54"/>
      <c r="E25" s="38"/>
      <c r="F25" s="38"/>
      <c r="G25" s="57"/>
      <c r="H25" s="57"/>
      <c r="I25" s="57"/>
      <c r="J25" s="57"/>
      <c r="K25" s="57"/>
      <c r="L25" s="57"/>
      <c r="M25" s="57"/>
      <c r="N25" s="57"/>
      <c r="O25" s="57"/>
      <c r="P25" s="37" t="str">
        <f t="shared" si="0"/>
        <v/>
      </c>
      <c r="S25" s="103"/>
      <c r="T25" s="103"/>
      <c r="U25" s="103"/>
      <c r="V25" s="103"/>
      <c r="W25" s="103"/>
      <c r="X25" s="103"/>
      <c r="Y25" s="103"/>
      <c r="Z25" s="103"/>
      <c r="AA25" s="103"/>
      <c r="AB25" s="103"/>
    </row>
    <row r="26" spans="1:28" ht="22.35" customHeight="1" x14ac:dyDescent="0.2">
      <c r="A26" s="42"/>
      <c r="B26" s="56"/>
      <c r="C26" s="54"/>
      <c r="D26" s="54"/>
      <c r="E26" s="38"/>
      <c r="F26" s="38"/>
      <c r="G26" s="57"/>
      <c r="H26" s="57"/>
      <c r="I26" s="57"/>
      <c r="J26" s="57"/>
      <c r="K26" s="57"/>
      <c r="L26" s="57"/>
      <c r="M26" s="57"/>
      <c r="N26" s="57"/>
      <c r="O26" s="57"/>
      <c r="P26" s="37" t="str">
        <f t="shared" si="0"/>
        <v/>
      </c>
      <c r="S26" s="103"/>
      <c r="T26" s="103"/>
      <c r="U26" s="103"/>
      <c r="V26" s="103"/>
      <c r="W26" s="103"/>
      <c r="X26" s="103"/>
      <c r="Y26" s="103"/>
      <c r="Z26" s="103"/>
      <c r="AA26" s="103"/>
      <c r="AB26" s="103"/>
    </row>
    <row r="27" spans="1:28" ht="22.35" customHeight="1" x14ac:dyDescent="0.2">
      <c r="A27" s="42"/>
      <c r="B27" s="56"/>
      <c r="C27" s="54"/>
      <c r="D27" s="54"/>
      <c r="E27" s="38"/>
      <c r="F27" s="38"/>
      <c r="G27" s="57"/>
      <c r="H27" s="57"/>
      <c r="I27" s="57"/>
      <c r="J27" s="57"/>
      <c r="K27" s="57"/>
      <c r="L27" s="57"/>
      <c r="M27" s="57"/>
      <c r="N27" s="57"/>
      <c r="O27" s="57"/>
      <c r="P27" s="37" t="str">
        <f t="shared" si="0"/>
        <v/>
      </c>
      <c r="S27" s="103"/>
      <c r="T27" s="103"/>
      <c r="U27" s="103"/>
      <c r="V27" s="103"/>
      <c r="W27" s="103"/>
      <c r="X27" s="103"/>
      <c r="Y27" s="103"/>
      <c r="Z27" s="103"/>
      <c r="AA27" s="103"/>
      <c r="AB27" s="103"/>
    </row>
    <row r="28" spans="1:28" ht="22.35" customHeight="1" x14ac:dyDescent="0.2">
      <c r="A28" s="42"/>
      <c r="B28" s="56"/>
      <c r="C28" s="54"/>
      <c r="D28" s="54"/>
      <c r="E28" s="38"/>
      <c r="F28" s="38"/>
      <c r="G28" s="57"/>
      <c r="H28" s="57"/>
      <c r="I28" s="57"/>
      <c r="J28" s="57"/>
      <c r="K28" s="57"/>
      <c r="L28" s="57"/>
      <c r="M28" s="57"/>
      <c r="N28" s="57"/>
      <c r="O28" s="57"/>
      <c r="P28" s="37" t="str">
        <f t="shared" si="0"/>
        <v/>
      </c>
      <c r="S28" s="103"/>
      <c r="T28" s="103"/>
      <c r="U28" s="103"/>
      <c r="V28" s="103"/>
      <c r="W28" s="103"/>
      <c r="X28" s="103"/>
      <c r="Y28" s="103"/>
      <c r="Z28" s="103"/>
      <c r="AA28" s="103"/>
      <c r="AB28" s="103"/>
    </row>
    <row r="29" spans="1:28" ht="22.35" customHeight="1" x14ac:dyDescent="0.2">
      <c r="A29" s="42"/>
      <c r="B29" s="56"/>
      <c r="C29" s="54"/>
      <c r="D29" s="54"/>
      <c r="E29" s="38"/>
      <c r="F29" s="38"/>
      <c r="G29" s="57"/>
      <c r="H29" s="57"/>
      <c r="I29" s="57"/>
      <c r="J29" s="57"/>
      <c r="K29" s="57"/>
      <c r="L29" s="57"/>
      <c r="M29" s="57"/>
      <c r="N29" s="57"/>
      <c r="O29" s="57"/>
      <c r="P29" s="37" t="str">
        <f t="shared" si="0"/>
        <v/>
      </c>
      <c r="S29" s="103"/>
      <c r="T29" s="103"/>
      <c r="U29" s="103"/>
      <c r="V29" s="103"/>
      <c r="W29" s="103"/>
      <c r="X29" s="103"/>
      <c r="Y29" s="103"/>
      <c r="Z29" s="103"/>
      <c r="AA29" s="103"/>
      <c r="AB29" s="103"/>
    </row>
    <row r="30" spans="1:28" ht="22.35" customHeight="1" x14ac:dyDescent="0.2">
      <c r="A30" s="42"/>
      <c r="B30" s="56"/>
      <c r="C30" s="54"/>
      <c r="D30" s="54"/>
      <c r="E30" s="38"/>
      <c r="F30" s="38"/>
      <c r="G30" s="57"/>
      <c r="H30" s="57"/>
      <c r="I30" s="57"/>
      <c r="J30" s="57"/>
      <c r="K30" s="57"/>
      <c r="L30" s="57"/>
      <c r="M30" s="57"/>
      <c r="N30" s="57"/>
      <c r="O30" s="57"/>
      <c r="P30" s="37" t="str">
        <f t="shared" si="0"/>
        <v/>
      </c>
      <c r="S30" s="103"/>
      <c r="T30" s="103"/>
      <c r="U30" s="103"/>
      <c r="V30" s="103"/>
      <c r="W30" s="103"/>
      <c r="X30" s="103"/>
      <c r="Y30" s="103"/>
      <c r="Z30" s="103"/>
      <c r="AA30" s="103"/>
      <c r="AB30" s="103"/>
    </row>
    <row r="31" spans="1:28" ht="22.35" customHeight="1" x14ac:dyDescent="0.2">
      <c r="A31" s="42"/>
      <c r="B31" s="56"/>
      <c r="C31" s="54"/>
      <c r="D31" s="54"/>
      <c r="E31" s="38"/>
      <c r="F31" s="38"/>
      <c r="G31" s="57"/>
      <c r="H31" s="57"/>
      <c r="I31" s="57"/>
      <c r="J31" s="57"/>
      <c r="K31" s="57"/>
      <c r="L31" s="57"/>
      <c r="M31" s="57"/>
      <c r="N31" s="57"/>
      <c r="O31" s="57"/>
      <c r="P31" s="37" t="str">
        <f t="shared" si="0"/>
        <v/>
      </c>
      <c r="S31" s="103"/>
      <c r="T31" s="103"/>
      <c r="U31" s="103"/>
      <c r="V31" s="103"/>
      <c r="W31" s="103"/>
      <c r="X31" s="103"/>
      <c r="Y31" s="103"/>
      <c r="Z31" s="103"/>
      <c r="AA31" s="103"/>
      <c r="AB31" s="103"/>
    </row>
    <row r="32" spans="1:28" ht="22.35" customHeight="1" x14ac:dyDescent="0.2">
      <c r="A32" s="42"/>
      <c r="B32" s="56"/>
      <c r="C32" s="54"/>
      <c r="D32" s="54"/>
      <c r="E32" s="38"/>
      <c r="F32" s="38"/>
      <c r="G32" s="57"/>
      <c r="H32" s="57"/>
      <c r="I32" s="57"/>
      <c r="J32" s="57"/>
      <c r="K32" s="57"/>
      <c r="L32" s="57"/>
      <c r="M32" s="57"/>
      <c r="N32" s="57"/>
      <c r="O32" s="57"/>
      <c r="P32" s="37" t="str">
        <f t="shared" si="0"/>
        <v/>
      </c>
      <c r="S32" s="103"/>
      <c r="T32" s="103"/>
      <c r="U32" s="103"/>
      <c r="V32" s="103"/>
      <c r="W32" s="103"/>
      <c r="X32" s="103"/>
      <c r="Y32" s="103"/>
      <c r="Z32" s="103"/>
      <c r="AA32" s="103"/>
      <c r="AB32" s="103"/>
    </row>
    <row r="33" spans="1:28" ht="22.35" customHeight="1" x14ac:dyDescent="0.2">
      <c r="A33" s="42"/>
      <c r="B33" s="56"/>
      <c r="C33" s="54"/>
      <c r="D33" s="54"/>
      <c r="E33" s="38"/>
      <c r="F33" s="38"/>
      <c r="G33" s="57"/>
      <c r="H33" s="57"/>
      <c r="I33" s="57"/>
      <c r="J33" s="57"/>
      <c r="K33" s="57"/>
      <c r="L33" s="57"/>
      <c r="M33" s="57"/>
      <c r="N33" s="57"/>
      <c r="O33" s="57"/>
      <c r="P33" s="37" t="str">
        <f t="shared" si="0"/>
        <v/>
      </c>
      <c r="S33" s="103"/>
      <c r="T33" s="103"/>
      <c r="U33" s="103"/>
      <c r="V33" s="103"/>
      <c r="W33" s="103"/>
      <c r="X33" s="103"/>
      <c r="Y33" s="103"/>
      <c r="Z33" s="103"/>
      <c r="AA33" s="103"/>
      <c r="AB33" s="103"/>
    </row>
    <row r="34" spans="1:28" ht="22.35" customHeight="1" x14ac:dyDescent="0.2">
      <c r="A34" s="42"/>
      <c r="B34" s="56"/>
      <c r="C34" s="54"/>
      <c r="D34" s="54"/>
      <c r="E34" s="38"/>
      <c r="F34" s="38"/>
      <c r="G34" s="57"/>
      <c r="H34" s="57"/>
      <c r="I34" s="57"/>
      <c r="J34" s="57"/>
      <c r="K34" s="57"/>
      <c r="L34" s="57"/>
      <c r="M34" s="57"/>
      <c r="N34" s="57"/>
      <c r="O34" s="57"/>
      <c r="P34" s="37" t="str">
        <f t="shared" si="0"/>
        <v/>
      </c>
      <c r="S34" s="103"/>
      <c r="T34" s="103"/>
      <c r="U34" s="103"/>
      <c r="V34" s="103"/>
      <c r="W34" s="103"/>
      <c r="X34" s="103"/>
      <c r="Y34" s="103"/>
      <c r="Z34" s="103"/>
      <c r="AA34" s="103"/>
      <c r="AB34" s="103"/>
    </row>
    <row r="35" spans="1:28" ht="22.35" customHeight="1" x14ac:dyDescent="0.2">
      <c r="A35" s="42"/>
      <c r="B35" s="56"/>
      <c r="C35" s="54"/>
      <c r="D35" s="54"/>
      <c r="E35" s="38"/>
      <c r="F35" s="38"/>
      <c r="G35" s="57"/>
      <c r="H35" s="57"/>
      <c r="I35" s="57"/>
      <c r="J35" s="57"/>
      <c r="K35" s="57"/>
      <c r="L35" s="57"/>
      <c r="M35" s="57"/>
      <c r="N35" s="57"/>
      <c r="O35" s="57"/>
      <c r="P35" s="37" t="str">
        <f t="shared" si="0"/>
        <v/>
      </c>
      <c r="S35" s="103"/>
      <c r="T35" s="103"/>
      <c r="U35" s="103"/>
      <c r="V35" s="103"/>
      <c r="W35" s="103"/>
      <c r="X35" s="103"/>
      <c r="Y35" s="103"/>
      <c r="Z35" s="103"/>
      <c r="AA35" s="103"/>
      <c r="AB35" s="103"/>
    </row>
    <row r="36" spans="1:28" ht="22.35" customHeight="1" x14ac:dyDescent="0.2">
      <c r="A36" s="42"/>
      <c r="B36" s="56"/>
      <c r="C36" s="54"/>
      <c r="D36" s="54"/>
      <c r="E36" s="38"/>
      <c r="F36" s="38"/>
      <c r="G36" s="57"/>
      <c r="H36" s="57"/>
      <c r="I36" s="57"/>
      <c r="J36" s="57"/>
      <c r="K36" s="57"/>
      <c r="L36" s="57"/>
      <c r="M36" s="57"/>
      <c r="N36" s="57"/>
      <c r="O36" s="57"/>
      <c r="P36" s="37" t="str">
        <f t="shared" si="0"/>
        <v/>
      </c>
      <c r="S36" s="103"/>
      <c r="T36" s="103"/>
      <c r="U36" s="103"/>
      <c r="V36" s="103"/>
      <c r="W36" s="103"/>
      <c r="X36" s="103"/>
      <c r="Y36" s="103"/>
      <c r="Z36" s="103"/>
      <c r="AA36" s="103"/>
      <c r="AB36" s="103"/>
    </row>
    <row r="37" spans="1:28" ht="22.35" customHeight="1" x14ac:dyDescent="0.2">
      <c r="A37" s="42"/>
      <c r="B37" s="56"/>
      <c r="C37" s="54"/>
      <c r="D37" s="54"/>
      <c r="E37" s="38"/>
      <c r="F37" s="38"/>
      <c r="G37" s="57"/>
      <c r="H37" s="57"/>
      <c r="I37" s="57"/>
      <c r="J37" s="57"/>
      <c r="K37" s="57"/>
      <c r="L37" s="57"/>
      <c r="M37" s="57"/>
      <c r="N37" s="57"/>
      <c r="O37" s="57"/>
      <c r="P37" s="37" t="str">
        <f t="shared" si="0"/>
        <v/>
      </c>
      <c r="S37" s="103"/>
      <c r="T37" s="103"/>
      <c r="U37" s="103"/>
      <c r="V37" s="103"/>
      <c r="W37" s="103"/>
      <c r="X37" s="103"/>
      <c r="Y37" s="103"/>
      <c r="Z37" s="103"/>
      <c r="AA37" s="103"/>
      <c r="AB37" s="103"/>
    </row>
    <row r="38" spans="1:28" ht="22.35" customHeight="1" x14ac:dyDescent="0.2">
      <c r="A38" s="42"/>
      <c r="B38" s="56"/>
      <c r="C38" s="54"/>
      <c r="D38" s="54"/>
      <c r="E38" s="38"/>
      <c r="F38" s="38"/>
      <c r="G38" s="57"/>
      <c r="H38" s="57"/>
      <c r="I38" s="57"/>
      <c r="J38" s="57"/>
      <c r="K38" s="57"/>
      <c r="L38" s="57"/>
      <c r="M38" s="57"/>
      <c r="N38" s="57"/>
      <c r="O38" s="57"/>
      <c r="P38" s="37" t="str">
        <f t="shared" si="0"/>
        <v/>
      </c>
      <c r="S38" s="103"/>
      <c r="T38" s="103"/>
      <c r="U38" s="103"/>
      <c r="V38" s="103"/>
      <c r="W38" s="103"/>
      <c r="X38" s="103"/>
      <c r="Y38" s="103"/>
      <c r="Z38" s="103"/>
      <c r="AA38" s="103"/>
      <c r="AB38" s="103"/>
    </row>
    <row r="39" spans="1:28" ht="22.35" customHeight="1" x14ac:dyDescent="0.2">
      <c r="A39" s="42"/>
      <c r="B39" s="56"/>
      <c r="C39" s="54"/>
      <c r="D39" s="54"/>
      <c r="E39" s="38"/>
      <c r="F39" s="38"/>
      <c r="G39" s="57"/>
      <c r="H39" s="57"/>
      <c r="I39" s="57"/>
      <c r="J39" s="57"/>
      <c r="K39" s="57"/>
      <c r="L39" s="57"/>
      <c r="M39" s="57"/>
      <c r="N39" s="57"/>
      <c r="O39" s="57"/>
      <c r="P39" s="37" t="str">
        <f t="shared" si="0"/>
        <v/>
      </c>
      <c r="S39" s="103"/>
      <c r="T39" s="103"/>
      <c r="U39" s="103"/>
      <c r="V39" s="103"/>
      <c r="W39" s="103"/>
      <c r="X39" s="103"/>
      <c r="Y39" s="103"/>
      <c r="Z39" s="103"/>
      <c r="AA39" s="103"/>
      <c r="AB39" s="103"/>
    </row>
    <row r="40" spans="1:28" ht="22.35" customHeight="1" x14ac:dyDescent="0.2">
      <c r="A40" s="42"/>
      <c r="B40" s="56"/>
      <c r="C40" s="54"/>
      <c r="D40" s="54"/>
      <c r="E40" s="38"/>
      <c r="F40" s="38"/>
      <c r="G40" s="57"/>
      <c r="H40" s="57"/>
      <c r="I40" s="57"/>
      <c r="J40" s="57"/>
      <c r="K40" s="57"/>
      <c r="L40" s="57"/>
      <c r="M40" s="57"/>
      <c r="N40" s="57"/>
      <c r="O40" s="57"/>
      <c r="P40" s="37" t="str">
        <f t="shared" si="0"/>
        <v/>
      </c>
      <c r="S40" s="103"/>
      <c r="T40" s="103"/>
      <c r="U40" s="103"/>
      <c r="V40" s="103"/>
      <c r="W40" s="103"/>
      <c r="X40" s="103"/>
      <c r="Y40" s="103"/>
      <c r="Z40" s="103"/>
      <c r="AA40" s="103"/>
      <c r="AB40" s="103"/>
    </row>
    <row r="41" spans="1:28" ht="22.35" customHeight="1" x14ac:dyDescent="0.2">
      <c r="A41" s="42"/>
      <c r="B41" s="56"/>
      <c r="C41" s="54"/>
      <c r="D41" s="54"/>
      <c r="E41" s="38"/>
      <c r="F41" s="38"/>
      <c r="G41" s="57"/>
      <c r="H41" s="57"/>
      <c r="I41" s="57"/>
      <c r="J41" s="57"/>
      <c r="K41" s="57"/>
      <c r="L41" s="57"/>
      <c r="M41" s="57"/>
      <c r="N41" s="57"/>
      <c r="O41" s="57"/>
      <c r="P41" s="37" t="str">
        <f t="shared" si="0"/>
        <v/>
      </c>
      <c r="S41" s="103"/>
      <c r="T41" s="103"/>
      <c r="U41" s="103"/>
      <c r="V41" s="103"/>
      <c r="W41" s="103"/>
      <c r="X41" s="103"/>
      <c r="Y41" s="103"/>
      <c r="Z41" s="103"/>
      <c r="AA41" s="103"/>
      <c r="AB41" s="103"/>
    </row>
    <row r="42" spans="1:28" ht="22.35" customHeight="1" x14ac:dyDescent="0.2">
      <c r="A42" s="42"/>
      <c r="B42" s="56"/>
      <c r="C42" s="54"/>
      <c r="D42" s="54"/>
      <c r="E42" s="38"/>
      <c r="F42" s="38"/>
      <c r="G42" s="57"/>
      <c r="H42" s="57"/>
      <c r="I42" s="57"/>
      <c r="J42" s="57"/>
      <c r="K42" s="57"/>
      <c r="L42" s="57"/>
      <c r="M42" s="57"/>
      <c r="N42" s="57"/>
      <c r="O42" s="57"/>
      <c r="P42" s="37" t="str">
        <f t="shared" si="0"/>
        <v/>
      </c>
      <c r="S42" s="103"/>
      <c r="T42" s="103"/>
      <c r="U42" s="103"/>
      <c r="V42" s="103"/>
      <c r="W42" s="103"/>
      <c r="X42" s="103"/>
      <c r="Y42" s="103"/>
      <c r="Z42" s="103"/>
      <c r="AA42" s="103"/>
      <c r="AB42" s="103"/>
    </row>
    <row r="43" spans="1:28" ht="22.35" customHeight="1" x14ac:dyDescent="0.2">
      <c r="A43" s="42"/>
      <c r="B43" s="56"/>
      <c r="C43" s="54"/>
      <c r="D43" s="54"/>
      <c r="E43" s="38"/>
      <c r="F43" s="38"/>
      <c r="G43" s="57"/>
      <c r="H43" s="57"/>
      <c r="I43" s="57"/>
      <c r="J43" s="57"/>
      <c r="K43" s="57"/>
      <c r="L43" s="57"/>
      <c r="M43" s="57"/>
      <c r="N43" s="57"/>
      <c r="O43" s="57"/>
      <c r="P43" s="37" t="str">
        <f t="shared" si="0"/>
        <v/>
      </c>
      <c r="S43" s="103"/>
      <c r="T43" s="103"/>
      <c r="U43" s="103"/>
      <c r="V43" s="103"/>
      <c r="W43" s="103"/>
      <c r="X43" s="103"/>
      <c r="Y43" s="103"/>
      <c r="Z43" s="103"/>
      <c r="AA43" s="103"/>
      <c r="AB43" s="103"/>
    </row>
    <row r="44" spans="1:28" ht="22.35" customHeight="1" x14ac:dyDescent="0.2">
      <c r="A44" s="42"/>
      <c r="B44" s="56"/>
      <c r="C44" s="54"/>
      <c r="D44" s="54"/>
      <c r="E44" s="38"/>
      <c r="F44" s="38"/>
      <c r="G44" s="57"/>
      <c r="H44" s="57"/>
      <c r="I44" s="57"/>
      <c r="J44" s="57"/>
      <c r="K44" s="57"/>
      <c r="L44" s="57"/>
      <c r="M44" s="57"/>
      <c r="N44" s="57"/>
      <c r="O44" s="57"/>
      <c r="P44" s="37" t="str">
        <f t="shared" si="0"/>
        <v/>
      </c>
      <c r="S44" s="103"/>
      <c r="T44" s="103"/>
      <c r="U44" s="103"/>
      <c r="V44" s="103"/>
      <c r="W44" s="103"/>
      <c r="X44" s="103"/>
      <c r="Y44" s="103"/>
      <c r="Z44" s="103"/>
      <c r="AA44" s="103"/>
      <c r="AB44" s="103"/>
    </row>
    <row r="45" spans="1:28" ht="22.35" customHeight="1" x14ac:dyDescent="0.2">
      <c r="A45" s="42"/>
      <c r="B45" s="56"/>
      <c r="C45" s="54"/>
      <c r="D45" s="54"/>
      <c r="E45" s="38"/>
      <c r="F45" s="38"/>
      <c r="G45" s="57"/>
      <c r="H45" s="57"/>
      <c r="I45" s="57"/>
      <c r="J45" s="57"/>
      <c r="K45" s="57"/>
      <c r="L45" s="57"/>
      <c r="M45" s="57"/>
      <c r="N45" s="57"/>
      <c r="O45" s="57"/>
      <c r="P45" s="37" t="str">
        <f t="shared" si="0"/>
        <v/>
      </c>
      <c r="S45" s="103"/>
      <c r="T45" s="103"/>
      <c r="U45" s="103"/>
      <c r="V45" s="103"/>
      <c r="W45" s="103"/>
      <c r="X45" s="103"/>
      <c r="Y45" s="103"/>
      <c r="Z45" s="103"/>
      <c r="AA45" s="103"/>
      <c r="AB45" s="103"/>
    </row>
    <row r="46" spans="1:28" ht="22.35" customHeight="1" x14ac:dyDescent="0.2">
      <c r="A46" s="42"/>
      <c r="B46" s="56"/>
      <c r="C46" s="54"/>
      <c r="D46" s="54"/>
      <c r="E46" s="38"/>
      <c r="F46" s="38"/>
      <c r="G46" s="57"/>
      <c r="H46" s="57"/>
      <c r="I46" s="57"/>
      <c r="J46" s="57"/>
      <c r="K46" s="57"/>
      <c r="L46" s="57"/>
      <c r="M46" s="57"/>
      <c r="N46" s="57"/>
      <c r="O46" s="57"/>
      <c r="P46" s="37" t="str">
        <f t="shared" si="0"/>
        <v/>
      </c>
      <c r="S46" s="103"/>
      <c r="T46" s="103"/>
      <c r="U46" s="103"/>
      <c r="V46" s="103"/>
      <c r="W46" s="103"/>
      <c r="X46" s="103"/>
      <c r="Y46" s="103"/>
      <c r="Z46" s="103"/>
      <c r="AA46" s="103"/>
      <c r="AB46" s="103"/>
    </row>
    <row r="47" spans="1:28" ht="22.35" customHeight="1" x14ac:dyDescent="0.2">
      <c r="A47" s="42"/>
      <c r="B47" s="56"/>
      <c r="C47" s="54"/>
      <c r="D47" s="54"/>
      <c r="E47" s="38"/>
      <c r="F47" s="38"/>
      <c r="G47" s="57"/>
      <c r="H47" s="57"/>
      <c r="I47" s="57"/>
      <c r="J47" s="57"/>
      <c r="K47" s="57"/>
      <c r="L47" s="57"/>
      <c r="M47" s="57"/>
      <c r="N47" s="57"/>
      <c r="O47" s="57"/>
      <c r="P47" s="37" t="str">
        <f t="shared" si="0"/>
        <v/>
      </c>
      <c r="S47" s="103"/>
      <c r="T47" s="103"/>
      <c r="U47" s="103"/>
      <c r="V47" s="103"/>
      <c r="W47" s="103"/>
      <c r="X47" s="103"/>
      <c r="Y47" s="103"/>
      <c r="Z47" s="103"/>
      <c r="AA47" s="103"/>
      <c r="AB47" s="103"/>
    </row>
    <row r="48" spans="1:28" ht="22.35" customHeight="1" x14ac:dyDescent="0.2">
      <c r="A48" s="42"/>
      <c r="B48" s="56"/>
      <c r="C48" s="54"/>
      <c r="D48" s="54"/>
      <c r="E48" s="38"/>
      <c r="F48" s="38"/>
      <c r="G48" s="57"/>
      <c r="H48" s="57"/>
      <c r="I48" s="57"/>
      <c r="J48" s="57"/>
      <c r="K48" s="57"/>
      <c r="L48" s="57"/>
      <c r="M48" s="57"/>
      <c r="N48" s="57"/>
      <c r="O48" s="57"/>
      <c r="P48" s="37" t="str">
        <f t="shared" si="0"/>
        <v/>
      </c>
      <c r="S48" s="103"/>
      <c r="T48" s="103"/>
      <c r="U48" s="103"/>
      <c r="V48" s="103"/>
      <c r="W48" s="103"/>
      <c r="X48" s="103"/>
      <c r="Y48" s="103"/>
      <c r="Z48" s="103"/>
      <c r="AA48" s="103"/>
      <c r="AB48" s="103"/>
    </row>
    <row r="49" spans="1:28" ht="22.35" customHeight="1" x14ac:dyDescent="0.2">
      <c r="A49" s="42"/>
      <c r="B49" s="56"/>
      <c r="C49" s="54"/>
      <c r="D49" s="54"/>
      <c r="E49" s="38"/>
      <c r="F49" s="38"/>
      <c r="G49" s="57"/>
      <c r="H49" s="57"/>
      <c r="I49" s="57"/>
      <c r="J49" s="57"/>
      <c r="K49" s="57"/>
      <c r="L49" s="57"/>
      <c r="M49" s="57"/>
      <c r="N49" s="57"/>
      <c r="O49" s="57"/>
      <c r="P49" s="37" t="str">
        <f t="shared" si="0"/>
        <v/>
      </c>
      <c r="S49" s="103"/>
      <c r="T49" s="103"/>
      <c r="U49" s="103"/>
      <c r="V49" s="103"/>
      <c r="W49" s="103"/>
      <c r="X49" s="103"/>
      <c r="Y49" s="103"/>
      <c r="Z49" s="103"/>
      <c r="AA49" s="103"/>
      <c r="AB49" s="103"/>
    </row>
    <row r="50" spans="1:28" ht="22.35" customHeight="1" x14ac:dyDescent="0.2">
      <c r="A50" s="42"/>
      <c r="B50" s="56"/>
      <c r="C50" s="54"/>
      <c r="D50" s="54"/>
      <c r="E50" s="38"/>
      <c r="F50" s="38"/>
      <c r="G50" s="57"/>
      <c r="H50" s="57"/>
      <c r="I50" s="57"/>
      <c r="J50" s="57"/>
      <c r="K50" s="57"/>
      <c r="L50" s="57"/>
      <c r="M50" s="57"/>
      <c r="N50" s="57"/>
      <c r="O50" s="57"/>
      <c r="P50" s="37" t="str">
        <f t="shared" si="0"/>
        <v/>
      </c>
      <c r="S50" s="103"/>
      <c r="T50" s="103"/>
      <c r="U50" s="103"/>
      <c r="V50" s="103"/>
      <c r="W50" s="103"/>
      <c r="X50" s="103"/>
      <c r="Y50" s="103"/>
      <c r="Z50" s="103"/>
      <c r="AA50" s="103"/>
      <c r="AB50" s="103"/>
    </row>
    <row r="51" spans="1:28" ht="22.35" customHeight="1" x14ac:dyDescent="0.2">
      <c r="A51" s="42"/>
      <c r="B51" s="56"/>
      <c r="C51" s="54"/>
      <c r="D51" s="54"/>
      <c r="E51" s="38"/>
      <c r="F51" s="38"/>
      <c r="G51" s="57"/>
      <c r="H51" s="57"/>
      <c r="I51" s="57"/>
      <c r="J51" s="57"/>
      <c r="K51" s="57"/>
      <c r="L51" s="57"/>
      <c r="M51" s="57"/>
      <c r="N51" s="57"/>
      <c r="O51" s="57"/>
      <c r="P51" s="37" t="str">
        <f t="shared" si="0"/>
        <v/>
      </c>
      <c r="S51" s="103"/>
      <c r="T51" s="103"/>
      <c r="U51" s="103"/>
      <c r="V51" s="103"/>
      <c r="W51" s="103"/>
      <c r="X51" s="103"/>
      <c r="Y51" s="103"/>
      <c r="Z51" s="103"/>
      <c r="AA51" s="103"/>
      <c r="AB51" s="103"/>
    </row>
    <row r="52" spans="1:28" ht="22.35" customHeight="1" x14ac:dyDescent="0.2">
      <c r="A52" s="42"/>
      <c r="B52" s="56"/>
      <c r="C52" s="54"/>
      <c r="D52" s="54"/>
      <c r="E52" s="38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37" t="str">
        <f t="shared" si="0"/>
        <v/>
      </c>
      <c r="S52" s="103"/>
      <c r="T52" s="103"/>
      <c r="U52" s="103"/>
      <c r="V52" s="103"/>
      <c r="W52" s="103"/>
      <c r="X52" s="103"/>
      <c r="Y52" s="103"/>
      <c r="Z52" s="103"/>
      <c r="AA52" s="103"/>
      <c r="AB52" s="103"/>
    </row>
    <row r="53" spans="1:28" ht="22.35" customHeight="1" x14ac:dyDescent="0.2">
      <c r="A53" s="42"/>
      <c r="B53" s="56"/>
      <c r="C53" s="54"/>
      <c r="D53" s="54"/>
      <c r="E53" s="38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37" t="str">
        <f t="shared" si="0"/>
        <v/>
      </c>
      <c r="S53" s="103"/>
      <c r="T53" s="103"/>
      <c r="U53" s="103"/>
      <c r="V53" s="103"/>
      <c r="W53" s="103"/>
      <c r="X53" s="103"/>
      <c r="Y53" s="103"/>
      <c r="Z53" s="103"/>
      <c r="AA53" s="103"/>
      <c r="AB53" s="103"/>
    </row>
    <row r="54" spans="1:28" ht="27.6" customHeight="1" x14ac:dyDescent="0.2">
      <c r="A54" s="39" t="s">
        <v>30</v>
      </c>
      <c r="B54" s="55"/>
      <c r="C54" s="40"/>
      <c r="D54" s="40"/>
      <c r="E54" s="40"/>
      <c r="F54" s="57" t="str">
        <f>'Inspection 1-40 (2)'!F54</f>
        <v>OK</v>
      </c>
      <c r="G54" s="57" t="str">
        <f>'Inspection 1-40 (2)'!G54</f>
        <v>OK</v>
      </c>
      <c r="H54" s="57"/>
      <c r="I54" s="57"/>
      <c r="J54" s="57"/>
      <c r="K54" s="57"/>
      <c r="L54" s="57"/>
      <c r="M54" s="57"/>
      <c r="N54" s="57"/>
      <c r="O54" s="57"/>
      <c r="P54" s="37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</row>
    <row r="55" spans="1:28" ht="18.600000000000001" customHeight="1" x14ac:dyDescent="0.2">
      <c r="A55" s="95" t="s">
        <v>31</v>
      </c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</row>
    <row r="56" spans="1:28" x14ac:dyDescent="0.2">
      <c r="A56" s="47" t="s">
        <v>32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</row>
    <row r="57" spans="1:28" x14ac:dyDescent="0.2">
      <c r="A57" s="47" t="s">
        <v>33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</row>
    <row r="58" spans="1:28" ht="48.4" customHeight="1" x14ac:dyDescent="0.35">
      <c r="A58" s="46"/>
      <c r="B58" s="52"/>
      <c r="C58" s="49">
        <v>7139</v>
      </c>
      <c r="D58" s="53"/>
      <c r="E58" s="44"/>
      <c r="F58" s="86" t="s">
        <v>34</v>
      </c>
      <c r="G58" s="86"/>
      <c r="H58" s="49"/>
      <c r="I58" s="49"/>
      <c r="J58" s="50"/>
      <c r="K58" s="51"/>
      <c r="L58" s="86" t="s">
        <v>35</v>
      </c>
      <c r="M58" s="86"/>
      <c r="N58" s="49"/>
      <c r="O58" s="49"/>
      <c r="P58" s="45"/>
    </row>
    <row r="59" spans="1:28" x14ac:dyDescent="0.2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</row>
  </sheetData>
  <mergeCells count="19">
    <mergeCell ref="A1:P1"/>
    <mergeCell ref="A2:P2"/>
    <mergeCell ref="S3:AB55"/>
    <mergeCell ref="K4:M4"/>
    <mergeCell ref="A5:B5"/>
    <mergeCell ref="D5:F5"/>
    <mergeCell ref="K5:M5"/>
    <mergeCell ref="A6:B6"/>
    <mergeCell ref="K6:M6"/>
    <mergeCell ref="A11:E11"/>
    <mergeCell ref="P8:P9"/>
    <mergeCell ref="F58:G58"/>
    <mergeCell ref="L58:M58"/>
    <mergeCell ref="F11:O11"/>
    <mergeCell ref="A12:A13"/>
    <mergeCell ref="B12:B13"/>
    <mergeCell ref="C12:D12"/>
    <mergeCell ref="F13:O13"/>
    <mergeCell ref="A55:P55"/>
  </mergeCells>
  <phoneticPr fontId="15" type="noConversion"/>
  <conditionalFormatting sqref="P8:P9">
    <cfRule type="containsText" dxfId="2" priority="1" operator="containsText" text="PASSED">
      <formula>NOT(ISERROR(SEARCH("PASSED",P8)))</formula>
    </cfRule>
    <cfRule type="containsText" dxfId="1" priority="2" operator="containsText" text="REJECTED">
      <formula>NOT(ISERROR(SEARCH("REJECTED",P8)))</formula>
    </cfRule>
  </conditionalFormatting>
  <conditionalFormatting sqref="P14:P53">
    <cfRule type="containsText" dxfId="0" priority="5" operator="containsText" text="NG">
      <formula>NOT(ISERROR(SEARCH("NG",P14)))</formula>
    </cfRule>
  </conditionalFormatting>
  <printOptions horizontalCentered="1" verticalCentered="1"/>
  <pageMargins left="0" right="0" top="0" bottom="0" header="0" footer="0"/>
  <pageSetup paperSize="9" scale="5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Inspection 1-40 (2)</vt:lpstr>
      <vt:lpstr>Inspection 41-42</vt:lpstr>
      <vt:lpstr>'Inspection 1-40 (2)'!Print_Area</vt:lpstr>
      <vt:lpstr>'Inspection 41-42'!Print_Area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vu tho duc</cp:lastModifiedBy>
  <cp:lastPrinted>2026-09-09T09:36:16Z</cp:lastPrinted>
  <dcterms:created xsi:type="dcterms:W3CDTF">2006-09-16T00:00:00Z</dcterms:created>
  <dcterms:modified xsi:type="dcterms:W3CDTF">2026-09-11T00:59:38Z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68E2FBC31B1C4AAF914044F4742EA898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